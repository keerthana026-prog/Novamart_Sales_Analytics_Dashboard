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b425352c94869d7/Documents/"/>
    </mc:Choice>
  </mc:AlternateContent>
  <xr:revisionPtr revIDLastSave="341" documentId="8_{4A1D6B14-4AE5-458B-AD28-93B7A2C3D130}" xr6:coauthVersionLast="47" xr6:coauthVersionMax="47" xr10:uidLastSave="{FFB4A63C-820A-4E2F-B929-195784A78695}"/>
  <bookViews>
    <workbookView xWindow="-108" yWindow="-108" windowWidth="23256" windowHeight="12456" firstSheet="2" activeTab="4" xr2:uid="{9AB070F7-923A-4ED7-96BD-3F8876D9AB28}"/>
  </bookViews>
  <sheets>
    <sheet name="Sheet3" sheetId="3" r:id="rId1"/>
    <sheet name="Sheet4" sheetId="4" r:id="rId2"/>
    <sheet name="Sheet5" sheetId="5" r:id="rId3"/>
    <sheet name="Sheet1" sheetId="1" r:id="rId4"/>
    <sheet name="Dashboard" sheetId="6" r:id="rId5"/>
    <sheet name="product_prices" sheetId="2" r:id="rId6"/>
  </sheets>
  <definedNames>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6" l="1"/>
  <c r="G5" i="6" s="1"/>
  <c r="E5" i="6"/>
  <c r="C5" i="6"/>
</calcChain>
</file>

<file path=xl/sharedStrings.xml><?xml version="1.0" encoding="utf-8"?>
<sst xmlns="http://schemas.openxmlformats.org/spreadsheetml/2006/main" count="3087" uniqueCount="684">
  <si>
    <t>ORDER ID</t>
  </si>
  <si>
    <t>ORDER DATE</t>
  </si>
  <si>
    <t>CUSTOMER ID</t>
  </si>
  <si>
    <t>REGION</t>
  </si>
  <si>
    <t>CATEGORY</t>
  </si>
  <si>
    <t>PRODUCT</t>
  </si>
  <si>
    <t>QUANTITY</t>
  </si>
  <si>
    <t>UNIT PRICE</t>
  </si>
  <si>
    <t>DISCOUNT</t>
  </si>
  <si>
    <t>COST PER UNIT</t>
  </si>
  <si>
    <t xml:space="preserve"> Cost per unit</t>
  </si>
  <si>
    <t>product</t>
  </si>
  <si>
    <t>unit price</t>
  </si>
  <si>
    <t>keyboard</t>
  </si>
  <si>
    <t>mouse</t>
  </si>
  <si>
    <t>monitor</t>
  </si>
  <si>
    <t>headphones</t>
  </si>
  <si>
    <t>desk</t>
  </si>
  <si>
    <t>office chair</t>
  </si>
  <si>
    <t>bookshelf</t>
  </si>
  <si>
    <t>cabinet</t>
  </si>
  <si>
    <t>notebook</t>
  </si>
  <si>
    <t>pen set</t>
  </si>
  <si>
    <t>stapler</t>
  </si>
  <si>
    <t>printer paper</t>
  </si>
  <si>
    <t>laptop stand</t>
  </si>
  <si>
    <t>USB hub</t>
  </si>
  <si>
    <t>webcam</t>
  </si>
  <si>
    <t>mouse pad</t>
  </si>
  <si>
    <t>SALES REVENUE</t>
  </si>
  <si>
    <t>DISCOUNT AMOUNT</t>
  </si>
  <si>
    <t>TOTAL COST</t>
  </si>
  <si>
    <t>PROFIT</t>
  </si>
  <si>
    <t>PROFIT MARGIN</t>
  </si>
  <si>
    <t>YEAR</t>
  </si>
  <si>
    <t>MONTH</t>
  </si>
  <si>
    <t>ORD0001</t>
  </si>
  <si>
    <t>C056</t>
  </si>
  <si>
    <t>Mumbai</t>
  </si>
  <si>
    <t>Accessories</t>
  </si>
  <si>
    <t>USB Hub</t>
  </si>
  <si>
    <t>Sep</t>
  </si>
  <si>
    <t>ORD0002</t>
  </si>
  <si>
    <t>C071</t>
  </si>
  <si>
    <t>Chennai</t>
  </si>
  <si>
    <t>Office Supplies</t>
  </si>
  <si>
    <t>Printer Paper</t>
  </si>
  <si>
    <t>Jan</t>
  </si>
  <si>
    <t>ORD0003</t>
  </si>
  <si>
    <t>C052</t>
  </si>
  <si>
    <t>Bengaluru</t>
  </si>
  <si>
    <t>Mouse Pad</t>
  </si>
  <si>
    <t>Jun</t>
  </si>
  <si>
    <t>ORD0004</t>
  </si>
  <si>
    <t>C067</t>
  </si>
  <si>
    <t>Hyderabad</t>
  </si>
  <si>
    <t>Laptop Stand</t>
  </si>
  <si>
    <t>Mar</t>
  </si>
  <si>
    <t>ORD0005</t>
  </si>
  <si>
    <t>Electronics</t>
  </si>
  <si>
    <t>Headphones</t>
  </si>
  <si>
    <t>Dec</t>
  </si>
  <si>
    <t>ORD0006</t>
  </si>
  <si>
    <t>C029</t>
  </si>
  <si>
    <t>Webcam</t>
  </si>
  <si>
    <t>ORD0007</t>
  </si>
  <si>
    <t>C054</t>
  </si>
  <si>
    <t>Stapler</t>
  </si>
  <si>
    <t>Jul</t>
  </si>
  <si>
    <t>ORD0008</t>
  </si>
  <si>
    <t>C074</t>
  </si>
  <si>
    <t>Aug</t>
  </si>
  <si>
    <t>ORD0009</t>
  </si>
  <si>
    <t>C078</t>
  </si>
  <si>
    <t>Oct</t>
  </si>
  <si>
    <t>ORD0010</t>
  </si>
  <si>
    <t>C051</t>
  </si>
  <si>
    <t>Keyboard</t>
  </si>
  <si>
    <t>ORD0011</t>
  </si>
  <si>
    <t>Apr</t>
  </si>
  <si>
    <t>ORD0012</t>
  </si>
  <si>
    <t>C059</t>
  </si>
  <si>
    <t>Furniture</t>
  </si>
  <si>
    <t>Bookshelf</t>
  </si>
  <si>
    <t>ORD0013</t>
  </si>
  <si>
    <t>C096</t>
  </si>
  <si>
    <t>Office Chair</t>
  </si>
  <si>
    <t>Feb</t>
  </si>
  <si>
    <t>ORD0014</t>
  </si>
  <si>
    <t>C011</t>
  </si>
  <si>
    <t>Monitor</t>
  </si>
  <si>
    <t>ORD0015</t>
  </si>
  <si>
    <t>C012</t>
  </si>
  <si>
    <t>ORD0016</t>
  </si>
  <si>
    <t>C053</t>
  </si>
  <si>
    <t>Pen Set</t>
  </si>
  <si>
    <t>ORD0017</t>
  </si>
  <si>
    <t>C058</t>
  </si>
  <si>
    <t>Nov</t>
  </si>
  <si>
    <t>ORD0018</t>
  </si>
  <si>
    <t>C099</t>
  </si>
  <si>
    <t>Cabinet</t>
  </si>
  <si>
    <t>ORD0019</t>
  </si>
  <si>
    <t>ORD0020</t>
  </si>
  <si>
    <t>C021</t>
  </si>
  <si>
    <t>ORD0021</t>
  </si>
  <si>
    <t>C036</t>
  </si>
  <si>
    <t>ORD0022</t>
  </si>
  <si>
    <t>C024</t>
  </si>
  <si>
    <t>ORD0023</t>
  </si>
  <si>
    <t>C019</t>
  </si>
  <si>
    <t>ORD0024</t>
  </si>
  <si>
    <t>ORD0025</t>
  </si>
  <si>
    <t>C041</t>
  </si>
  <si>
    <t>ORD0026</t>
  </si>
  <si>
    <t>C003</t>
  </si>
  <si>
    <t>ORD0027</t>
  </si>
  <si>
    <t>C095</t>
  </si>
  <si>
    <t>ORD0028</t>
  </si>
  <si>
    <t>ORD0029</t>
  </si>
  <si>
    <t>C086</t>
  </si>
  <si>
    <t>ORD0030</t>
  </si>
  <si>
    <t>C016</t>
  </si>
  <si>
    <t>ORD0031</t>
  </si>
  <si>
    <t>C097</t>
  </si>
  <si>
    <t>ORD0032</t>
  </si>
  <si>
    <t>C069</t>
  </si>
  <si>
    <t>ORD0033</t>
  </si>
  <si>
    <t>Desk</t>
  </si>
  <si>
    <t>ORD0034</t>
  </si>
  <si>
    <t>ORD0035</t>
  </si>
  <si>
    <t>ORD0036</t>
  </si>
  <si>
    <t>ORD0037</t>
  </si>
  <si>
    <t>C038</t>
  </si>
  <si>
    <t>ORD0038</t>
  </si>
  <si>
    <t>C087</t>
  </si>
  <si>
    <t>ORD0039</t>
  </si>
  <si>
    <t>C092</t>
  </si>
  <si>
    <t>ORD0040</t>
  </si>
  <si>
    <t>C002</t>
  </si>
  <si>
    <t>ORD0041</t>
  </si>
  <si>
    <t>C076</t>
  </si>
  <si>
    <t>ORD0042</t>
  </si>
  <si>
    <t>C014</t>
  </si>
  <si>
    <t>ORD0043</t>
  </si>
  <si>
    <t>May</t>
  </si>
  <si>
    <t>ORD0044</t>
  </si>
  <si>
    <t>ORD0045</t>
  </si>
  <si>
    <t>C075</t>
  </si>
  <si>
    <t>ORD0046</t>
  </si>
  <si>
    <t>ORD0047</t>
  </si>
  <si>
    <t>C062</t>
  </si>
  <si>
    <t>ORD0048</t>
  </si>
  <si>
    <t>C015</t>
  </si>
  <si>
    <t>ORD0049</t>
  </si>
  <si>
    <t>C061</t>
  </si>
  <si>
    <t>ORD0050</t>
  </si>
  <si>
    <t>C066</t>
  </si>
  <si>
    <t>Mouse</t>
  </si>
  <si>
    <t>ORD0051</t>
  </si>
  <si>
    <t>C033</t>
  </si>
  <si>
    <t>ORD0052</t>
  </si>
  <si>
    <t>C042</t>
  </si>
  <si>
    <t>ORD0053</t>
  </si>
  <si>
    <t>ORD0054</t>
  </si>
  <si>
    <t>C040</t>
  </si>
  <si>
    <t>ORD0055</t>
  </si>
  <si>
    <t>ORD0056</t>
  </si>
  <si>
    <t>Notebook</t>
  </si>
  <si>
    <t>ORD0057</t>
  </si>
  <si>
    <t>C008</t>
  </si>
  <si>
    <t>ORD0058</t>
  </si>
  <si>
    <t>C023</t>
  </si>
  <si>
    <t>ORD0059</t>
  </si>
  <si>
    <t>C001</t>
  </si>
  <si>
    <t>ORD0060</t>
  </si>
  <si>
    <t>C039</t>
  </si>
  <si>
    <t>ORD0061</t>
  </si>
  <si>
    <t>ORD0062</t>
  </si>
  <si>
    <t>ORD0063</t>
  </si>
  <si>
    <t>ORD0064</t>
  </si>
  <si>
    <t>C093</t>
  </si>
  <si>
    <t>ORD0065</t>
  </si>
  <si>
    <t>C034</t>
  </si>
  <si>
    <t>ORD0066</t>
  </si>
  <si>
    <t>ORD0067</t>
  </si>
  <si>
    <t>C013</t>
  </si>
  <si>
    <t>ORD0068</t>
  </si>
  <si>
    <t>ORD0069</t>
  </si>
  <si>
    <t>C085</t>
  </si>
  <si>
    <t>ORD0070</t>
  </si>
  <si>
    <t>C064</t>
  </si>
  <si>
    <t>ORD0071</t>
  </si>
  <si>
    <t>C098</t>
  </si>
  <si>
    <t>ORD0072</t>
  </si>
  <si>
    <t>ORD0073</t>
  </si>
  <si>
    <t>ORD0074</t>
  </si>
  <si>
    <t>ORD0075</t>
  </si>
  <si>
    <t>C004</t>
  </si>
  <si>
    <t>ORD0076</t>
  </si>
  <si>
    <t>ORD0077</t>
  </si>
  <si>
    <t>C025</t>
  </si>
  <si>
    <t>ORD0078</t>
  </si>
  <si>
    <t>C090</t>
  </si>
  <si>
    <t>ORD0079</t>
  </si>
  <si>
    <t>ORD0080</t>
  </si>
  <si>
    <t>ORD0081</t>
  </si>
  <si>
    <t>C044</t>
  </si>
  <si>
    <t>ORD0082</t>
  </si>
  <si>
    <t>ORD0083</t>
  </si>
  <si>
    <t>ORD0084</t>
  </si>
  <si>
    <t>C065</t>
  </si>
  <si>
    <t>ORD0085</t>
  </si>
  <si>
    <t>C057</t>
  </si>
  <si>
    <t>ORD0086</t>
  </si>
  <si>
    <t>ORD0087</t>
  </si>
  <si>
    <t>C017</t>
  </si>
  <si>
    <t>ORD0088</t>
  </si>
  <si>
    <t>ORD0089</t>
  </si>
  <si>
    <t>ORD0090</t>
  </si>
  <si>
    <t>C084</t>
  </si>
  <si>
    <t>ORD0091</t>
  </si>
  <si>
    <t>C018</t>
  </si>
  <si>
    <t>ORD0092</t>
  </si>
  <si>
    <t>ORD0093</t>
  </si>
  <si>
    <t>C073</t>
  </si>
  <si>
    <t>ORD0094</t>
  </si>
  <si>
    <t>ORD0095</t>
  </si>
  <si>
    <t>C037</t>
  </si>
  <si>
    <t>ORD0096</t>
  </si>
  <si>
    <t>C063</t>
  </si>
  <si>
    <t>ORD0097</t>
  </si>
  <si>
    <t>C072</t>
  </si>
  <si>
    <t>ORD0098</t>
  </si>
  <si>
    <t>ORD0099</t>
  </si>
  <si>
    <t>ORD0100</t>
  </si>
  <si>
    <t>C080</t>
  </si>
  <si>
    <t>ORD0101</t>
  </si>
  <si>
    <t>ORD0102</t>
  </si>
  <si>
    <t>ORD0103</t>
  </si>
  <si>
    <t>ORD0104</t>
  </si>
  <si>
    <t>ORD0105</t>
  </si>
  <si>
    <t>C049</t>
  </si>
  <si>
    <t>ORD0106</t>
  </si>
  <si>
    <t>C082</t>
  </si>
  <si>
    <t>ORD0107</t>
  </si>
  <si>
    <t>ORD0108</t>
  </si>
  <si>
    <t>ORD0109</t>
  </si>
  <si>
    <t>ORD0110</t>
  </si>
  <si>
    <t>ORD0111</t>
  </si>
  <si>
    <t>ORD0112</t>
  </si>
  <si>
    <t>C100</t>
  </si>
  <si>
    <t>ORD0113</t>
  </si>
  <si>
    <t>ORD0114</t>
  </si>
  <si>
    <t>ORD0115</t>
  </si>
  <si>
    <t>ORD0116</t>
  </si>
  <si>
    <t>ORD0117</t>
  </si>
  <si>
    <t>C020</t>
  </si>
  <si>
    <t>ORD0118</t>
  </si>
  <si>
    <t>ORD0119</t>
  </si>
  <si>
    <t>C068</t>
  </si>
  <si>
    <t>ORD0120</t>
  </si>
  <si>
    <t>ORD0121</t>
  </si>
  <si>
    <t>C079</t>
  </si>
  <si>
    <t>ORD0122</t>
  </si>
  <si>
    <t>ORD0123</t>
  </si>
  <si>
    <t>C055</t>
  </si>
  <si>
    <t>ORD0124</t>
  </si>
  <si>
    <t>C005</t>
  </si>
  <si>
    <t>ORD0125</t>
  </si>
  <si>
    <t>C081</t>
  </si>
  <si>
    <t>ORD0126</t>
  </si>
  <si>
    <t>ORD0127</t>
  </si>
  <si>
    <t>ORD0128</t>
  </si>
  <si>
    <t>ORD0129</t>
  </si>
  <si>
    <t>ORD0130</t>
  </si>
  <si>
    <t>ORD0131</t>
  </si>
  <si>
    <t>C077</t>
  </si>
  <si>
    <t>ORD0132</t>
  </si>
  <si>
    <t>ORD0133</t>
  </si>
  <si>
    <t>ORD0134</t>
  </si>
  <si>
    <t>ORD0135</t>
  </si>
  <si>
    <t>ORD0136</t>
  </si>
  <si>
    <t>ORD0137</t>
  </si>
  <si>
    <t>ORD0138</t>
  </si>
  <si>
    <t>ORD0139</t>
  </si>
  <si>
    <t>C088</t>
  </si>
  <si>
    <t>ORD0140</t>
  </si>
  <si>
    <t>ORD0141</t>
  </si>
  <si>
    <t>ORD0142</t>
  </si>
  <si>
    <t>ORD0143</t>
  </si>
  <si>
    <t>C094</t>
  </si>
  <si>
    <t>ORD0144</t>
  </si>
  <si>
    <t>ORD0145</t>
  </si>
  <si>
    <t>C050</t>
  </si>
  <si>
    <t>ORD0146</t>
  </si>
  <si>
    <t>ORD0147</t>
  </si>
  <si>
    <t>ORD0148</t>
  </si>
  <si>
    <t>C026</t>
  </si>
  <si>
    <t>ORD0149</t>
  </si>
  <si>
    <t>ORD0150</t>
  </si>
  <si>
    <t>ORD0151</t>
  </si>
  <si>
    <t>ORD0152</t>
  </si>
  <si>
    <t>ORD0153</t>
  </si>
  <si>
    <t>ORD0154</t>
  </si>
  <si>
    <t>C035</t>
  </si>
  <si>
    <t>ORD0155</t>
  </si>
  <si>
    <t>ORD0156</t>
  </si>
  <si>
    <t>ORD0157</t>
  </si>
  <si>
    <t>ORD0158</t>
  </si>
  <si>
    <t>ORD0159</t>
  </si>
  <si>
    <t>ORD0160</t>
  </si>
  <si>
    <t>ORD0161</t>
  </si>
  <si>
    <t>ORD0162</t>
  </si>
  <si>
    <t>ORD0163</t>
  </si>
  <si>
    <t>ORD0164</t>
  </si>
  <si>
    <t>ORD0165</t>
  </si>
  <si>
    <t>C010</t>
  </si>
  <si>
    <t>ORD0166</t>
  </si>
  <si>
    <t>ORD0167</t>
  </si>
  <si>
    <t>ORD0168</t>
  </si>
  <si>
    <t>ORD0169</t>
  </si>
  <si>
    <t>C007</t>
  </si>
  <si>
    <t>ORD0170</t>
  </si>
  <si>
    <t>ORD0171</t>
  </si>
  <si>
    <t>ORD0172</t>
  </si>
  <si>
    <t>ORD0173</t>
  </si>
  <si>
    <t>ORD0174</t>
  </si>
  <si>
    <t>ORD0175</t>
  </si>
  <si>
    <t>ORD0176</t>
  </si>
  <si>
    <t>ORD0177</t>
  </si>
  <si>
    <t>ORD0178</t>
  </si>
  <si>
    <t>ORD0179</t>
  </si>
  <si>
    <t>ORD0180</t>
  </si>
  <si>
    <t>C070</t>
  </si>
  <si>
    <t>ORD0181</t>
  </si>
  <si>
    <t>C060</t>
  </si>
  <si>
    <t>ORD0182</t>
  </si>
  <si>
    <t>ORD0183</t>
  </si>
  <si>
    <t>ORD0184</t>
  </si>
  <si>
    <t>ORD0185</t>
  </si>
  <si>
    <t>C022</t>
  </si>
  <si>
    <t>ORD0186</t>
  </si>
  <si>
    <t>ORD0187</t>
  </si>
  <si>
    <t>ORD0188</t>
  </si>
  <si>
    <t>ORD0189</t>
  </si>
  <si>
    <t>ORD0190</t>
  </si>
  <si>
    <t>C032</t>
  </si>
  <si>
    <t>ORD0191</t>
  </si>
  <si>
    <t>ORD0192</t>
  </si>
  <si>
    <t>ORD0193</t>
  </si>
  <si>
    <t>ORD0194</t>
  </si>
  <si>
    <t>ORD0195</t>
  </si>
  <si>
    <t>ORD0196</t>
  </si>
  <si>
    <t>ORD0197</t>
  </si>
  <si>
    <t>ORD0198</t>
  </si>
  <si>
    <t>ORD0199</t>
  </si>
  <si>
    <t>ORD0200</t>
  </si>
  <si>
    <t>ORD0201</t>
  </si>
  <si>
    <t>C009</t>
  </si>
  <si>
    <t>ORD0202</t>
  </si>
  <si>
    <t>ORD0203</t>
  </si>
  <si>
    <t>ORD0204</t>
  </si>
  <si>
    <t>ORD0205</t>
  </si>
  <si>
    <t>ORD0206</t>
  </si>
  <si>
    <t>ORD0207</t>
  </si>
  <si>
    <t>ORD0208</t>
  </si>
  <si>
    <t>ORD0209</t>
  </si>
  <si>
    <t>ORD0210</t>
  </si>
  <si>
    <t>C046</t>
  </si>
  <si>
    <t>ORD0211</t>
  </si>
  <si>
    <t>ORD0212</t>
  </si>
  <si>
    <t>ORD0213</t>
  </si>
  <si>
    <t>ORD0214</t>
  </si>
  <si>
    <t>ORD0215</t>
  </si>
  <si>
    <t>ORD0216</t>
  </si>
  <si>
    <t>C043</t>
  </si>
  <si>
    <t>ORD0217</t>
  </si>
  <si>
    <t>ORD0218</t>
  </si>
  <si>
    <t>ORD0219</t>
  </si>
  <si>
    <t>ORD0220</t>
  </si>
  <si>
    <t>C028</t>
  </si>
  <si>
    <t>ORD0221</t>
  </si>
  <si>
    <t>ORD0222</t>
  </si>
  <si>
    <t>ORD0223</t>
  </si>
  <si>
    <t>ORD0224</t>
  </si>
  <si>
    <t>ORD0225</t>
  </si>
  <si>
    <t>C031</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</si>
  <si>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</si>
  <si>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</si>
  <si>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</si>
  <si>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</si>
  <si>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</si>
  <si>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</si>
  <si>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</si>
  <si>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</si>
  <si>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</si>
  <si>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</si>
  <si>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</si>
  <si>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</si>
  <si>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</si>
  <si>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</si>
  <si>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</si>
  <si>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</si>
  <si>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</si>
  <si>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</si>
  <si>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</si>
  <si>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</si>
  <si>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</si>
  <si>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</si>
  <si>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</si>
  <si>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</si>
  <si>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</si>
  <si>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</si>
  <si>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</si>
  <si>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C091</t>
  </si>
  <si>
    <t>ORD0253</t>
  </si>
  <si>
    <t>ORD0254</t>
  </si>
  <si>
    <t>C089</t>
  </si>
  <si>
    <t>ORD0255</t>
  </si>
  <si>
    <t>ORD0256</t>
  </si>
  <si>
    <t>ORD0257</t>
  </si>
  <si>
    <t>ORD0258</t>
  </si>
  <si>
    <t>ORD0259</t>
  </si>
  <si>
    <t>C047</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</si>
  <si>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</si>
  <si>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</si>
  <si>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</si>
  <si>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</si>
  <si>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</si>
  <si>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</si>
  <si>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</si>
  <si>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</si>
  <si>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</si>
  <si>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</si>
  <si>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</si>
  <si>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</si>
  <si>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</si>
  <si>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</si>
  <si>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</si>
  <si>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</si>
  <si>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</si>
  <si>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</si>
  <si>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</si>
  <si>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</si>
  <si>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</si>
  <si>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</si>
  <si>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</si>
  <si>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</si>
  <si>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C027</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</si>
  <si>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</si>
  <si>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</si>
  <si>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</si>
  <si>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</si>
  <si>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</si>
  <si>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</si>
  <si>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</si>
  <si>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</si>
  <si>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</si>
  <si>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</si>
  <si>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</si>
  <si>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</si>
  <si>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</si>
  <si>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</si>
  <si>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</si>
  <si>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</si>
  <si>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</si>
  <si>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</si>
  <si>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</si>
  <si>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C045</t>
  </si>
  <si>
    <t>ORD0303</t>
  </si>
  <si>
    <t>ORD0304</t>
  </si>
  <si>
    <t>ORD0305</t>
  </si>
  <si>
    <t>ORD0306</t>
  </si>
  <si>
    <t>ORD0307</t>
  </si>
  <si>
    <t>ORD0308</t>
  </si>
  <si>
    <t>C030</t>
  </si>
  <si>
    <t>ORD0309</t>
  </si>
  <si>
    <t>ORD0310</t>
  </si>
  <si>
    <t>ORD0311</t>
  </si>
  <si>
    <t>ORD0312</t>
  </si>
  <si>
    <t>ORD0313</t>
  </si>
  <si>
    <t>ORD0314</t>
  </si>
  <si>
    <t>ORD0315</t>
  </si>
  <si>
    <t>ORD0316</t>
  </si>
  <si>
    <t>ORD0317</t>
  </si>
  <si>
    <t>ORD0318</t>
  </si>
  <si>
    <t>ORD0319</t>
  </si>
  <si>
    <t>C083</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</si>
  <si>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</si>
  <si>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</si>
  <si>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</si>
  <si>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</si>
  <si>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</si>
  <si>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</si>
  <si>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</si>
  <si>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</si>
  <si>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</si>
  <si>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</si>
  <si>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</si>
  <si>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</si>
  <si>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</si>
  <si>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</si>
  <si>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</si>
  <si>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</si>
  <si>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</si>
  <si>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</si>
  <si>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</si>
  <si>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</si>
  <si>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</si>
  <si>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</si>
  <si>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</si>
  <si>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</si>
  <si>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</si>
  <si>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C048</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</si>
  <si>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</si>
  <si>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</si>
  <si>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</si>
  <si>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</si>
  <si>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</si>
  <si>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</si>
  <si>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</si>
  <si>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</si>
  <si>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</si>
  <si>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</si>
  <si>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</si>
  <si>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</si>
  <si>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</si>
  <si>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</si>
  <si>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</si>
  <si>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</si>
  <si>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</si>
  <si>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</si>
  <si>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</si>
  <si>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</si>
  <si>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</si>
  <si>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</si>
  <si>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</si>
  <si>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</si>
  <si>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</si>
  <si>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</si>
  <si>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</si>
  <si>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</si>
  <si>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</si>
  <si>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</si>
  <si>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</si>
  <si>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</si>
  <si>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</si>
  <si>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</si>
  <si>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C006</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</si>
  <si>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</si>
  <si>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</si>
  <si>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</si>
  <si>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</si>
  <si>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</si>
  <si>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</si>
  <si>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</si>
  <si>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</si>
  <si>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</si>
  <si>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</si>
  <si>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</si>
  <si>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</si>
  <si>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</si>
  <si>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</si>
  <si>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</si>
  <si>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</si>
  <si>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</si>
  <si>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</si>
  <si>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</si>
  <si>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</si>
  <si>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</si>
  <si>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</si>
  <si>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</si>
  <si>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</si>
  <si>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</si>
  <si>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</si>
  <si>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</si>
  <si>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</si>
  <si>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</si>
  <si>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</si>
  <si>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</si>
  <si>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</si>
  <si>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</si>
  <si>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</si>
  <si>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</si>
  <si>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</si>
  <si>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</si>
  <si>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</si>
  <si>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</si>
  <si>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</si>
  <si>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</si>
  <si>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</si>
  <si>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</si>
  <si>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</si>
  <si>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</si>
  <si>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</si>
  <si>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</si>
  <si>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</si>
  <si>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</si>
  <si>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</si>
  <si>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</si>
  <si>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</si>
  <si>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</si>
  <si>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</si>
  <si>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</si>
  <si>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</si>
  <si>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</si>
  <si>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</si>
  <si>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</si>
  <si>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</si>
  <si>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</si>
  <si>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</si>
  <si>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</si>
  <si>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</si>
  <si>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</si>
  <si>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</si>
  <si>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</si>
  <si>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</si>
  <si>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</si>
  <si>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</si>
  <si>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</si>
  <si>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</si>
  <si>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</si>
  <si>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</si>
  <si>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</si>
  <si>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</si>
  <si>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</si>
  <si>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</si>
  <si>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</si>
  <si>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</si>
  <si>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</si>
  <si>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</si>
  <si>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</si>
  <si>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</si>
  <si>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</si>
  <si>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</si>
  <si>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</si>
  <si>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</si>
  <si>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</si>
  <si>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</si>
  <si>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</si>
  <si>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</si>
  <si>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</si>
  <si>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</si>
  <si>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</si>
  <si>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</si>
  <si>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</si>
  <si>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</si>
  <si>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</si>
  <si>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</si>
  <si>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</si>
  <si>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</si>
  <si>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</si>
  <si>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</si>
  <si>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</si>
  <si>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</si>
  <si>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</si>
  <si>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</si>
  <si>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</si>
  <si>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</si>
  <si>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</si>
  <si>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</si>
  <si>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</si>
  <si>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</si>
  <si>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</si>
  <si>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</si>
  <si>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</si>
  <si>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</si>
  <si>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</si>
  <si>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</si>
  <si>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</si>
  <si>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</si>
  <si>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Row Labels</t>
  </si>
  <si>
    <t>Grand Total</t>
  </si>
  <si>
    <t>Sum of SALES REVENUE</t>
  </si>
  <si>
    <t>Total Sales Revenue</t>
  </si>
  <si>
    <t>Total Profit</t>
  </si>
  <si>
    <t>Total Quantity sold</t>
  </si>
  <si>
    <t>Overall Profit Margin</t>
  </si>
  <si>
    <t>Sum</t>
  </si>
  <si>
    <t>Average</t>
  </si>
  <si>
    <t>Running Total</t>
  </si>
  <si>
    <t>Count</t>
  </si>
  <si>
    <t>NOVAMART | SALES &amp; BUSSINESS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</si>
</sst>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
      <sz val="11"/>
      <color theme="1"/>
      <name val="Aptos Narrow"/>
      <family val="2"/>
      <scheme val="minor"/>
    </font>
    <font>
      <b/>
      <sz val="16"/>
      <color theme="1"/>
      <name val="Aptos Narrow"/>
      <family val="2"/>
      <scheme val="minor"/>
    </font>
    <font>
      <b/>
      <sz val="18"/>
      <color theme="1"/>
      <name val="Aptos Narrow"/>
      <family val="2"/>
      <scheme val="minor"/>
    </font>
    <font>
      <b/>
      <sz val="18"/>
      <color rgb="FF002060"/>
      <name val="Aptos Narrow"/>
      <family val="2"/>
      <scheme val="minor"/>
    </font>
    <font>
      <b/>
      <sz val="14"/>
      <color theme="1"/>
      <name val="Aptos Narrow"/>
      <family val="2"/>
      <scheme val="minor"/>
    </font>
    <font>
      <b/>
      <sz val="36"/>
      <color rgb="FF002060"/>
      <name val="Aptos Narrow"/>
      <family val="2"/>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7">
    <xf numFmtId="0" fontId="0" fillId="0" borderId="0" xfId="0"/>
    <xf numFmtId="0" fontId="1" fillId="0" borderId="0" xfId="0" applyFont="1"/>
    <xf numFmtId="14" fontId="0" fillId="0" borderId="0" xfId="0" applyNumberFormat="1"/>
    <xf numFmtId="0" fontId="3" fillId="0" borderId="0" xfId="0" applyFont="1"/>
    <xf numFmtId="10" fontId="0" fillId="0" borderId="0" xfId="0" applyNumberFormat="1"/>
    <xf numFmtId="1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0" xfId="0" applyFont="1"/>
    <xf numFmtId="0" fontId="7" fillId="0" borderId="0" xfId="0" applyFont="1"/>
    <xf numFmtId="0" fontId="0" fillId="0" borderId="0" xfId="0" applyNumberFormat="1"/>
    <xf numFmtId="43" fontId="5" fillId="2" borderId="2" xfId="1" applyFont="1" applyFill="1" applyBorder="1"/>
    <xf numFmtId="0" fontId="5" fillId="2" borderId="2" xfId="0" applyFont="1" applyFill="1" applyBorder="1"/>
    <xf numFmtId="10" fontId="5" fillId="2" borderId="2" xfId="2" applyNumberFormat="1" applyFont="1" applyFill="1" applyBorder="1"/>
    <xf numFmtId="0" fontId="8" fillId="2" borderId="1" xfId="0" applyFont="1" applyFill="1" applyBorder="1"/>
    <xf numFmtId="0" fontId="9"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[sales_bussines_analytics.xlsx]Sheet3!PivotTable1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Sales Revenue by Region</a:t>
            </a:r>
            <a:endParaRPr lang="en-IN" b="1"/>
          </a:p>
        </c:rich>
      </c:tx>
      <c:layout>
        <c:manualLayout>
          <c:xMode val="edge"/>
          <c:yMode val="edge"/>
          <c:x val="0.16311126212689137"/>
          <c:y val="0.103035681690867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Bengaluru</c:v>
                </c:pt>
                <c:pt idx="1">
                  <c:v>Chennai</c:v>
                </c:pt>
                <c:pt idx="2">
                  <c:v>Hyderabad</c:v>
                </c:pt>
                <c:pt idx="3">
                  <c:v>Mumbai</c:v>
                </c:pt>
              </c:strCache>
            </c:strRef>
          </c:cat>
          <c:val>
            <c:numRef>
              <c:f>Sheet3!$B$4:$B$8</c:f>
              <c:numCache>
                <c:formatCode>General</c:formatCode>
                <c:ptCount val="4"/>
                <c:pt idx="0">
                  <c:v>1146350</c:v>
                </c:pt>
                <c:pt idx="1">
                  <c:v>1197950</c:v>
                </c:pt>
                <c:pt idx="2">
                  <c:v>1375950</c:v>
                </c:pt>
                <c:pt idx="3">
                  <c:v>967250</c:v>
                </c:pt>
              </c:numCache>
            </c:numRef>
          </c:val>
          <c:extLst>
            <c:ext xmlns:c16="http://schemas.microsoft.com/office/drawing/2014/chart" uri="{C3380CC4-5D6E-409C-BE32-E72D297353CC}">
              <c16:uniqueId val="{00000000-FAEA-491D-9CD3-455488AF94A7}"/>
            </c:ext>
          </c:extLst>
        </c:ser>
        <c:dLbls>
          <c:showLegendKey val="0"/>
          <c:showVal val="0"/>
          <c:showCatName val="0"/>
          <c:showSerName val="0"/>
          <c:showPercent val="0"/>
          <c:showBubbleSize val="0"/>
        </c:dLbls>
        <c:gapWidth val="219"/>
        <c:overlap val="-27"/>
        <c:axId val="645913359"/>
        <c:axId val="644083471"/>
      </c:barChart>
      <c:catAx>
        <c:axId val="64591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83471"/>
        <c:crosses val="autoZero"/>
        <c:auto val="1"/>
        <c:lblAlgn val="ctr"/>
        <c:lblOffset val="100"/>
        <c:noMultiLvlLbl val="0"/>
      </c:catAx>
      <c:valAx>
        <c:axId val="64408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1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[sales_bussines_analytics.xlsx]Sheet4!PivotTable2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Revenue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Accessories</c:v>
                </c:pt>
                <c:pt idx="1">
                  <c:v>Electronics</c:v>
                </c:pt>
                <c:pt idx="2">
                  <c:v>Furniture</c:v>
                </c:pt>
                <c:pt idx="3">
                  <c:v>Office Supplies</c:v>
                </c:pt>
              </c:strCache>
            </c:strRef>
          </c:cat>
          <c:val>
            <c:numRef>
              <c:f>Sheet4!$B$4:$B$8</c:f>
              <c:numCache>
                <c:formatCode>General</c:formatCode>
                <c:ptCount val="4"/>
                <c:pt idx="0">
                  <c:v>528800</c:v>
                </c:pt>
                <c:pt idx="1">
                  <c:v>1545200</c:v>
                </c:pt>
                <c:pt idx="2">
                  <c:v>2516500</c:v>
                </c:pt>
                <c:pt idx="3">
                  <c:v>97000</c:v>
                </c:pt>
              </c:numCache>
            </c:numRef>
          </c:val>
          <c:extLst>
            <c:ext xmlns:c16="http://schemas.microsoft.com/office/drawing/2014/chart" uri="{C3380CC4-5D6E-409C-BE32-E72D297353CC}">
              <c16:uniqueId val="{00000000-10EB-4C4A-9D97-05CE657FCBFB}"/>
            </c:ext>
          </c:extLst>
        </c:ser>
        <c:dLbls>
          <c:showLegendKey val="0"/>
          <c:showVal val="0"/>
          <c:showCatName val="0"/>
          <c:showSerName val="0"/>
          <c:showPercent val="0"/>
          <c:showBubbleSize val="0"/>
        </c:dLbls>
        <c:gapWidth val="219"/>
        <c:overlap val="-27"/>
        <c:axId val="645909183"/>
        <c:axId val="644023951"/>
      </c:barChart>
      <c:catAx>
        <c:axId val="6459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23951"/>
        <c:crosses val="autoZero"/>
        <c:auto val="1"/>
        <c:lblAlgn val="ctr"/>
        <c:lblOffset val="100"/>
        <c:noMultiLvlLbl val="0"/>
      </c:catAx>
      <c:valAx>
        <c:axId val="64402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[sales_bussines_analytics.xlsx]Sheet5!PivotTable3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Revenue Trend(2025-2026)</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multiLvlStrRef>
              <c:f>Sheet5!$A$4:$A$30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Sheet5!$B$4:$B$30</c:f>
              <c:numCache>
                <c:formatCode>General</c:formatCode>
                <c:ptCount val="24"/>
                <c:pt idx="0">
                  <c:v>142450</c:v>
                </c:pt>
                <c:pt idx="1">
                  <c:v>278400</c:v>
                </c:pt>
                <c:pt idx="2">
                  <c:v>167400</c:v>
                </c:pt>
                <c:pt idx="3">
                  <c:v>300100</c:v>
                </c:pt>
                <c:pt idx="4">
                  <c:v>94650</c:v>
                </c:pt>
                <c:pt idx="5">
                  <c:v>218650</c:v>
                </c:pt>
                <c:pt idx="6">
                  <c:v>80850</c:v>
                </c:pt>
                <c:pt idx="7">
                  <c:v>149950</c:v>
                </c:pt>
                <c:pt idx="8">
                  <c:v>400350</c:v>
                </c:pt>
                <c:pt idx="9">
                  <c:v>145800</c:v>
                </c:pt>
                <c:pt idx="10">
                  <c:v>194350</c:v>
                </c:pt>
                <c:pt idx="11">
                  <c:v>236600</c:v>
                </c:pt>
                <c:pt idx="12">
                  <c:v>206050</c:v>
                </c:pt>
                <c:pt idx="13">
                  <c:v>201400</c:v>
                </c:pt>
                <c:pt idx="14">
                  <c:v>165900</c:v>
                </c:pt>
                <c:pt idx="15">
                  <c:v>329450</c:v>
                </c:pt>
                <c:pt idx="16">
                  <c:v>99400</c:v>
                </c:pt>
                <c:pt idx="17">
                  <c:v>242600</c:v>
                </c:pt>
                <c:pt idx="18">
                  <c:v>245100</c:v>
                </c:pt>
                <c:pt idx="19">
                  <c:v>178050</c:v>
                </c:pt>
                <c:pt idx="20">
                  <c:v>229600</c:v>
                </c:pt>
                <c:pt idx="21">
                  <c:v>115450</c:v>
                </c:pt>
                <c:pt idx="22">
                  <c:v>227650</c:v>
                </c:pt>
                <c:pt idx="23">
                  <c:v>37300</c:v>
                </c:pt>
              </c:numCache>
            </c:numRef>
          </c:val>
          <c:smooth val="0"/>
          <c:extLst>
            <c:ext xmlns:c16="http://schemas.microsoft.com/office/drawing/2014/chart" uri="{C3380CC4-5D6E-409C-BE32-E72D297353CC}">
              <c16:uniqueId val="{00000000-F89E-488B-91CF-2D62D06BD3B1}"/>
            </c:ext>
          </c:extLst>
        </c:ser>
        <c:dLbls>
          <c:showLegendKey val="0"/>
          <c:showVal val="0"/>
          <c:showCatName val="0"/>
          <c:showSerName val="0"/>
          <c:showPercent val="0"/>
          <c:showBubbleSize val="0"/>
        </c:dLbls>
        <c:smooth val="0"/>
        <c:axId val="899540191"/>
        <c:axId val="911667311"/>
      </c:lineChart>
      <c:catAx>
        <c:axId val="89954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67311"/>
        <c:crosses val="autoZero"/>
        <c:auto val="1"/>
        <c:lblAlgn val="ctr"/>
        <c:lblOffset val="100"/>
        <c:noMultiLvlLbl val="0"/>
      </c:catAx>
      <c:valAx>
        <c:axId val="9116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4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[sales_bussines_analytics.xlsx]Sheet5!PivotTable3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Sales Revenue Trend(2025-2026)</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multiLvlStrRef>
              <c:f>Sheet5!$A$4:$A$30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Sheet5!$B$4:$B$30</c:f>
              <c:numCache>
                <c:formatCode>General</c:formatCode>
                <c:ptCount val="24"/>
                <c:pt idx="0">
                  <c:v>142450</c:v>
                </c:pt>
                <c:pt idx="1">
                  <c:v>278400</c:v>
                </c:pt>
                <c:pt idx="2">
                  <c:v>167400</c:v>
                </c:pt>
                <c:pt idx="3">
                  <c:v>300100</c:v>
                </c:pt>
                <c:pt idx="4">
                  <c:v>94650</c:v>
                </c:pt>
                <c:pt idx="5">
                  <c:v>218650</c:v>
                </c:pt>
                <c:pt idx="6">
                  <c:v>80850</c:v>
                </c:pt>
                <c:pt idx="7">
                  <c:v>149950</c:v>
                </c:pt>
                <c:pt idx="8">
                  <c:v>400350</c:v>
                </c:pt>
                <c:pt idx="9">
                  <c:v>145800</c:v>
                </c:pt>
                <c:pt idx="10">
                  <c:v>194350</c:v>
                </c:pt>
                <c:pt idx="11">
                  <c:v>236600</c:v>
                </c:pt>
                <c:pt idx="12">
                  <c:v>206050</c:v>
                </c:pt>
                <c:pt idx="13">
                  <c:v>201400</c:v>
                </c:pt>
                <c:pt idx="14">
                  <c:v>165900</c:v>
                </c:pt>
                <c:pt idx="15">
                  <c:v>329450</c:v>
                </c:pt>
                <c:pt idx="16">
                  <c:v>99400</c:v>
                </c:pt>
                <c:pt idx="17">
                  <c:v>242600</c:v>
                </c:pt>
                <c:pt idx="18">
                  <c:v>245100</c:v>
                </c:pt>
                <c:pt idx="19">
                  <c:v>178050</c:v>
                </c:pt>
                <c:pt idx="20">
                  <c:v>229600</c:v>
                </c:pt>
                <c:pt idx="21">
                  <c:v>115450</c:v>
                </c:pt>
                <c:pt idx="22">
                  <c:v>227650</c:v>
                </c:pt>
                <c:pt idx="23">
                  <c:v>37300</c:v>
                </c:pt>
              </c:numCache>
            </c:numRef>
          </c:val>
          <c:smooth val="0"/>
          <c:extLst>
            <c:ext xmlns:c16="http://schemas.microsoft.com/office/drawing/2014/chart" uri="{C3380CC4-5D6E-409C-BE32-E72D297353CC}">
              <c16:uniqueId val="{00000000-E070-4E6D-8495-DB4DB48B6468}"/>
            </c:ext>
          </c:extLst>
        </c:ser>
        <c:dLbls>
          <c:showLegendKey val="0"/>
          <c:showVal val="0"/>
          <c:showCatName val="0"/>
          <c:showSerName val="0"/>
          <c:showPercent val="0"/>
          <c:showBubbleSize val="0"/>
        </c:dLbls>
        <c:smooth val="0"/>
        <c:axId val="899540191"/>
        <c:axId val="911667311"/>
      </c:lineChart>
      <c:catAx>
        <c:axId val="89954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667311"/>
        <c:crosses val="autoZero"/>
        <c:auto val="1"/>
        <c:lblAlgn val="ctr"/>
        <c:lblOffset val="100"/>
        <c:noMultiLvlLbl val="0"/>
      </c:catAx>
      <c:valAx>
        <c:axId val="9116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4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[sales_bussines_analytics.xlsx]Sheet3!PivotTable1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Sales Revenue by Region</a:t>
            </a:r>
            <a:endParaRPr lang="en-IN" b="1"/>
          </a:p>
        </c:rich>
      </c:tx>
      <c:layout>
        <c:manualLayout>
          <c:xMode val="edge"/>
          <c:yMode val="edge"/>
          <c:x val="0.16311126212689137"/>
          <c:y val="0.103035681690867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Bengaluru</c:v>
                </c:pt>
                <c:pt idx="1">
                  <c:v>Chennai</c:v>
                </c:pt>
                <c:pt idx="2">
                  <c:v>Hyderabad</c:v>
                </c:pt>
                <c:pt idx="3">
                  <c:v>Mumbai</c:v>
                </c:pt>
              </c:strCache>
            </c:strRef>
          </c:cat>
          <c:val>
            <c:numRef>
              <c:f>Sheet3!$B$4:$B$8</c:f>
              <c:numCache>
                <c:formatCode>General</c:formatCode>
                <c:ptCount val="4"/>
                <c:pt idx="0">
                  <c:v>1146350</c:v>
                </c:pt>
                <c:pt idx="1">
                  <c:v>1197950</c:v>
                </c:pt>
                <c:pt idx="2">
                  <c:v>1375950</c:v>
                </c:pt>
                <c:pt idx="3">
                  <c:v>967250</c:v>
                </c:pt>
              </c:numCache>
            </c:numRef>
          </c:val>
          <c:extLst>
            <c:ext xmlns:c16="http://schemas.microsoft.com/office/drawing/2014/chart" uri="{C3380CC4-5D6E-409C-BE32-E72D297353CC}">
              <c16:uniqueId val="{00000000-647A-41C6-85F4-9D879E12004E}"/>
            </c:ext>
          </c:extLst>
        </c:ser>
        <c:dLbls>
          <c:showLegendKey val="0"/>
          <c:showVal val="0"/>
          <c:showCatName val="0"/>
          <c:showSerName val="0"/>
          <c:showPercent val="0"/>
          <c:showBubbleSize val="0"/>
        </c:dLbls>
        <c:gapWidth val="219"/>
        <c:overlap val="-27"/>
        <c:axId val="645913359"/>
        <c:axId val="644083471"/>
      </c:barChart>
      <c:catAx>
        <c:axId val="64591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83471"/>
        <c:crosses val="autoZero"/>
        <c:auto val="1"/>
        <c:lblAlgn val="ctr"/>
        <c:lblOffset val="100"/>
        <c:noMultiLvlLbl val="0"/>
      </c:catAx>
      <c:valAx>
        <c:axId val="64408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1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[sales_bussines_analytics.xlsx]Sheet4!PivotTable2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Revenue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Accessories</c:v>
                </c:pt>
                <c:pt idx="1">
                  <c:v>Electronics</c:v>
                </c:pt>
                <c:pt idx="2">
                  <c:v>Furniture</c:v>
                </c:pt>
                <c:pt idx="3">
                  <c:v>Office Supplies</c:v>
                </c:pt>
              </c:strCache>
            </c:strRef>
          </c:cat>
          <c:val>
            <c:numRef>
              <c:f>Sheet4!$B$4:$B$8</c:f>
              <c:numCache>
                <c:formatCode>General</c:formatCode>
                <c:ptCount val="4"/>
                <c:pt idx="0">
                  <c:v>528800</c:v>
                </c:pt>
                <c:pt idx="1">
                  <c:v>1545200</c:v>
                </c:pt>
                <c:pt idx="2">
                  <c:v>2516500</c:v>
                </c:pt>
                <c:pt idx="3">
                  <c:v>97000</c:v>
                </c:pt>
              </c:numCache>
            </c:numRef>
          </c:val>
          <c:extLst>
            <c:ext xmlns:c16="http://schemas.microsoft.com/office/drawing/2014/chart" uri="{C3380CC4-5D6E-409C-BE32-E72D297353CC}">
              <c16:uniqueId val="{00000000-B7F8-4C80-B379-5026CCAB3CC1}"/>
            </c:ext>
          </c:extLst>
        </c:ser>
        <c:dLbls>
          <c:showLegendKey val="0"/>
          <c:showVal val="0"/>
          <c:showCatName val="0"/>
          <c:showSerName val="0"/>
          <c:showPercent val="0"/>
          <c:showBubbleSize val="0"/>
        </c:dLbls>
        <c:gapWidth val="219"/>
        <c:overlap val="-27"/>
        <c:axId val="645909183"/>
        <c:axId val="644023951"/>
      </c:barChart>
      <c:catAx>
        <c:axId val="6459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23951"/>
        <c:crosses val="autoZero"/>
        <c:auto val="1"/>
        <c:lblAlgn val="ctr"/>
        <c:lblOffset val="100"/>
        <c:noMultiLvlLbl val="0"/>
      </c:catAx>
      <c:valAx>
        <c:axId val="64402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622710</xdr:colOff>
      <xdr:row>6</xdr:row>
      <xdr:rowOff>0</xdr:rowOff>
    </xdr:from>
    <xdr:to>
      <xdr:col>6</xdr:col>
      <xdr:colOff>557162</xdr:colOff>
      <xdr:row>25</xdr:row>
      <xdr:rowOff>57437</xdr:rowOff>
    </xdr:to>
    <xdr:graphicFrame macro="">
      <xdr:nvGraphicFramePr>
        <xdr:cNvPr id="3" name="Chart 2">
          <a:extLst>
            <a:ext uri="{FF2B5EF4-FFF2-40B4-BE49-F238E27FC236}">
              <a16:creationId xmlns:a16="http://schemas.microsoft.com/office/drawing/2014/main" id="{F9F6B755-D47F-4CBB-BBF4-6704835E7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475225</xdr:colOff>
      <xdr:row>9</xdr:row>
      <xdr:rowOff>167886</xdr:rowOff>
    </xdr:from>
    <xdr:to>
      <xdr:col>1</xdr:col>
      <xdr:colOff>925871</xdr:colOff>
      <xdr:row>28</xdr:row>
      <xdr:rowOff>8194</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E786E9D6-F8BD-DFF7-84B8-D1ECE47CB7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75225" y="1790209"/>
              <a:ext cx="1351936" cy="3265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0</xdr:row>
      <xdr:rowOff>102870</xdr:rowOff>
    </xdr:from>
    <xdr:to>
      <xdr:col>10</xdr:col>
      <xdr:colOff>114300</xdr:colOff>
      <xdr:row>15</xdr:row>
      <xdr:rowOff>102870</xdr:rowOff>
    </xdr:to>
    <xdr:graphicFrame macro="">
      <xdr:nvGraphicFramePr>
        <xdr:cNvPr id="2" name="Chart 1">
          <a:extLst>
            <a:ext uri="{FF2B5EF4-FFF2-40B4-BE49-F238E27FC236}">
              <a16:creationId xmlns:a16="http://schemas.microsoft.com/office/drawing/2014/main" id="{47BAADF6-45FE-3BEF-F72D-8387A9287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441960</xdr:colOff>
      <xdr:row>1</xdr:row>
      <xdr:rowOff>64770</xdr:rowOff>
    </xdr:from>
    <xdr:to>
      <xdr:col>10</xdr:col>
      <xdr:colOff>137160</xdr:colOff>
      <xdr:row>16</xdr:row>
      <xdr:rowOff>64770</xdr:rowOff>
    </xdr:to>
    <xdr:graphicFrame macro="">
      <xdr:nvGraphicFramePr>
        <xdr:cNvPr id="2" name="Chart 1">
          <a:extLst>
            <a:ext uri="{FF2B5EF4-FFF2-40B4-BE49-F238E27FC236}">
              <a16:creationId xmlns:a16="http://schemas.microsoft.com/office/drawing/2014/main" id="{40248B5D-C174-639F-019E-9D7605722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822960</xdr:colOff>
      <xdr:row>6</xdr:row>
      <xdr:rowOff>7620</xdr:rowOff>
    </xdr:from>
    <xdr:to>
      <xdr:col>0</xdr:col>
      <xdr:colOff>6339840</xdr:colOff>
      <xdr:row>17</xdr:row>
      <xdr:rowOff>144780</xdr:rowOff>
    </xdr:to>
    <xdr:graphicFrame macro="">
      <xdr:nvGraphicFramePr>
        <xdr:cNvPr id="2" name="Chart 1">
          <a:extLst>
            <a:ext uri="{FF2B5EF4-FFF2-40B4-BE49-F238E27FC236}">
              <a16:creationId xmlns:a16="http://schemas.microsoft.com/office/drawing/2014/main" id="{11DA79C7-02A6-4E41-8B26-2E10C7B44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18</xdr:row>
      <xdr:rowOff>160020</xdr:rowOff>
    </xdr:from>
    <xdr:to>
      <xdr:col>0</xdr:col>
      <xdr:colOff>3375660</xdr:colOff>
      <xdr:row>37</xdr:row>
      <xdr:rowOff>53341</xdr:rowOff>
    </xdr:to>
    <xdr:graphicFrame macro="">
      <xdr:nvGraphicFramePr>
        <xdr:cNvPr id="3" name="Chart 2">
          <a:extLst>
            <a:ext uri="{FF2B5EF4-FFF2-40B4-BE49-F238E27FC236}">
              <a16:creationId xmlns:a16="http://schemas.microsoft.com/office/drawing/2014/main" id="{290EBD49-B223-42F2-BFF7-64B6A6951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3619500</xdr:colOff>
      <xdr:row>18</xdr:row>
      <xdr:rowOff>167640</xdr:rowOff>
    </xdr:from>
    <xdr:to>
      <xdr:col>0</xdr:col>
      <xdr:colOff>6812280</xdr:colOff>
      <xdr:row>37</xdr:row>
      <xdr:rowOff>30480</xdr:rowOff>
    </xdr:to>
    <xdr:graphicFrame macro="">
      <xdr:nvGraphicFramePr>
        <xdr:cNvPr id="4" name="Chart 3">
          <a:extLst>
            <a:ext uri="{FF2B5EF4-FFF2-40B4-BE49-F238E27FC236}">
              <a16:creationId xmlns:a16="http://schemas.microsoft.com/office/drawing/2014/main" id="{77BC5CEF-B184-4796-9D98-7ACADF525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ANA" refreshedDate="46308.249348726851" createdVersion="8" refreshedVersion="8" minRefreshableVersion="3" recordCount="500" xr:uid="{4664FA7A-2622-4614-9BCC-D48A5D6A023A}">
  <cacheSource type="worksheet">
    <worksheetSource ref="A1:Q501" sheet="Sheet1"/>
  </cacheSource>
  <cacheFields count="17">
    <cacheField name="ORDER ID" numFmtId="0">
      <sharedItems/>
    </cacheField>
    <cacheField name="ORDER DATE" numFmtId="14">
      <sharedItems containsSemiMixedTypes="0" containsNonDate="0" containsDate="1" containsString="0" minDate="2025-01-02T00:00:00" maxDate="2026-12-28T00:00:00"/>
    </cacheField>
    <cacheField name="CUSTOMER ID" numFmtId="0">
      <sharedItems/>
    </cacheField>
    <cacheField name="REGION" numFmtId="0">
      <sharedItems count="4">
        <s v="Mumbai"/>
        <s v="Chennai"/>
        <s v="Bengaluru"/>
        <s v="Hyderabad"/>
      </sharedItems>
    </cacheField>
    <cacheField name="CATEGORY" numFmtId="0">
      <sharedItems count="4">
        <s v="Accessories"/>
        <s v="Office Supplies"/>
        <s v="Electronics"/>
        <s v="Furniture"/>
      </sharedItems>
    </cacheField>
    <cacheField name="PRODUCT" numFmtId="0">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00" maxValue="9000"/>
    </cacheField>
    <cacheField name="DISCOUNT" numFmtId="0">
      <sharedItems containsSemiMixedTypes="0" containsString="0" containsNumber="1" minValue="0" maxValue="0.15"/>
    </cacheField>
    <cacheField name="COST PER UNIT" numFmtId="0">
      <sharedItems containsSemiMixedTypes="0" containsString="0" containsNumber="1" containsInteger="1" minValue="40" maxValue="6500"/>
    </cacheField>
    <cacheField name="SALES REVENUE" numFmtId="0">
      <sharedItems containsSemiMixedTypes="0" containsString="0" containsNumber="1" containsInteger="1" minValue="100" maxValue="72000"/>
    </cacheField>
    <cacheField name="DISCOUNT AMOUNT" numFmtId="0">
      <sharedItems containsSemiMixedTypes="0" containsString="0" containsNumber="1" minValue="0" maxValue="10800"/>
    </cacheField>
    <cacheField name="TOTAL COST" numFmtId="0">
      <sharedItems containsSemiMixedTypes="0" containsString="0" containsNumber="1" containsInteger="1" minValue="40" maxValue="52000"/>
    </cacheField>
    <cacheField name="PROFIT" numFmtId="0">
      <sharedItems containsSemiMixedTypes="0" containsString="0" containsNumber="1" minValue="45" maxValue="20000"/>
    </cacheField>
    <cacheField name="PROFIT MARGIN" numFmtId="10">
      <sharedItems containsSemiMixedTypes="0" containsString="0" containsNumber="1" minValue="0.12777777777777777" maxValue="0.6"/>
    </cacheField>
    <cacheField name="YEAR" numFmtId="0">
      <sharedItems containsSemiMixedTypes="0" containsString="0" containsNumber="1" containsInteger="1" minValue="2025" maxValue="2026" count="2">
        <n v="2025"/>
        <n v="2026"/>
      </sharedItems>
    </cacheField>
    <cacheField name="MONTH" numFmtId="0">
      <sharedItems count="12">
        <s v="Sep"/>
        <s v="Jan"/>
        <s v="Jun"/>
        <s v="Mar"/>
        <s v="Dec"/>
        <s v="Jul"/>
        <s v="Aug"/>
        <s v="Oct"/>
        <s v="Apr"/>
        <s v="Feb"/>
        <s v="Nov"/>
        <s v="May"/>
      </sharedItems>
    </cacheField>
  </cacheFields>
  <extLst>
    <ext xmlns:x14="http://schemas.microsoft.com/office/spreadsheetml/2009/9/main" uri="{725AE2AE-9491-48be-B2B4-4EB974FC3084}">
      <x14:pivotCacheDefinition pivotCacheId="1665861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5-09-23T00:00:00"/>
    <s v="C056"/>
    <x v="0"/>
    <x v="0"/>
    <s v="USB Hub"/>
    <n v="6"/>
    <n v="700"/>
    <n v="0.1"/>
    <n v="400"/>
    <n v="4200"/>
    <n v="420"/>
    <n v="2400"/>
    <n v="1380"/>
    <n v="0.32857142857142857"/>
    <x v="0"/>
    <x v="0"/>
  </r>
  <r>
    <s v="ORD0002"/>
    <d v="2025-01-13T00:00:00"/>
    <s v="C071"/>
    <x v="1"/>
    <x v="1"/>
    <s v="Printer Paper"/>
    <n v="1"/>
    <n v="300"/>
    <n v="0"/>
    <n v="180"/>
    <n v="300"/>
    <n v="0"/>
    <n v="180"/>
    <n v="120"/>
    <n v="0.4"/>
    <x v="0"/>
    <x v="1"/>
  </r>
  <r>
    <s v="ORD0003"/>
    <d v="2025-06-25T00:00:00"/>
    <s v="C052"/>
    <x v="2"/>
    <x v="0"/>
    <s v="Mouse Pad"/>
    <n v="7"/>
    <n v="250"/>
    <n v="0"/>
    <n v="100"/>
    <n v="1750"/>
    <n v="0"/>
    <n v="700"/>
    <n v="1050"/>
    <n v="0.6"/>
    <x v="0"/>
    <x v="2"/>
  </r>
  <r>
    <s v="ORD0004"/>
    <d v="2026-03-17T00:00:00"/>
    <s v="C067"/>
    <x v="3"/>
    <x v="0"/>
    <s v="Laptop Stand"/>
    <n v="1"/>
    <n v="800"/>
    <n v="0.15"/>
    <n v="450"/>
    <n v="800"/>
    <n v="120"/>
    <n v="450"/>
    <n v="230"/>
    <n v="0.28749999999999998"/>
    <x v="1"/>
    <x v="3"/>
  </r>
  <r>
    <s v="ORD0005"/>
    <d v="2025-12-23T00:00:00"/>
    <s v="C056"/>
    <x v="2"/>
    <x v="2"/>
    <s v="Headphones"/>
    <n v="2"/>
    <n v="1500"/>
    <n v="0.1"/>
    <n v="900"/>
    <n v="3000"/>
    <n v="300"/>
    <n v="1800"/>
    <n v="900"/>
    <n v="0.3"/>
    <x v="0"/>
    <x v="4"/>
  </r>
  <r>
    <s v="ORD0006"/>
    <d v="2025-01-26T00:00:00"/>
    <s v="C029"/>
    <x v="1"/>
    <x v="0"/>
    <s v="Webcam"/>
    <n v="1"/>
    <n v="2000"/>
    <n v="0.05"/>
    <n v="1200"/>
    <n v="2000"/>
    <n v="100"/>
    <n v="1200"/>
    <n v="700"/>
    <n v="0.35"/>
    <x v="0"/>
    <x v="1"/>
  </r>
  <r>
    <s v="ORD0007"/>
    <d v="2026-07-04T00:00:00"/>
    <s v="C054"/>
    <x v="0"/>
    <x v="1"/>
    <s v="Stapler"/>
    <n v="8"/>
    <n v="200"/>
    <n v="0.15"/>
    <n v="90"/>
    <n v="1600"/>
    <n v="240"/>
    <n v="720"/>
    <n v="640"/>
    <n v="0.4"/>
    <x v="1"/>
    <x v="5"/>
  </r>
  <r>
    <s v="ORD0008"/>
    <d v="2026-08-13T00:00:00"/>
    <s v="C074"/>
    <x v="2"/>
    <x v="0"/>
    <s v="Mouse Pad"/>
    <n v="8"/>
    <n v="250"/>
    <n v="0.1"/>
    <n v="100"/>
    <n v="2000"/>
    <n v="200"/>
    <n v="800"/>
    <n v="1000"/>
    <n v="0.5"/>
    <x v="1"/>
    <x v="6"/>
  </r>
  <r>
    <s v="ORD0009"/>
    <d v="2026-10-03T00:00:00"/>
    <s v="C078"/>
    <x v="3"/>
    <x v="0"/>
    <s v="Webcam"/>
    <n v="4"/>
    <n v="2000"/>
    <n v="0.1"/>
    <n v="1200"/>
    <n v="8000"/>
    <n v="800"/>
    <n v="4800"/>
    <n v="2400"/>
    <n v="0.3"/>
    <x v="1"/>
    <x v="7"/>
  </r>
  <r>
    <s v="ORD0010"/>
    <d v="2025-01-07T00:00:00"/>
    <s v="C051"/>
    <x v="1"/>
    <x v="2"/>
    <s v="Keyboard"/>
    <n v="1"/>
    <n v="1200"/>
    <n v="0.05"/>
    <n v="750"/>
    <n v="1200"/>
    <n v="60"/>
    <n v="750"/>
    <n v="390"/>
    <n v="0.32500000000000001"/>
    <x v="0"/>
    <x v="1"/>
  </r>
  <r>
    <s v="ORD0011"/>
    <d v="2026-04-10T00:00:00"/>
    <s v="C074"/>
    <x v="2"/>
    <x v="0"/>
    <s v="USB Hub"/>
    <n v="4"/>
    <n v="700"/>
    <n v="0.1"/>
    <n v="400"/>
    <n v="2800"/>
    <n v="280"/>
    <n v="1600"/>
    <n v="920"/>
    <n v="0.32857142857142857"/>
    <x v="1"/>
    <x v="8"/>
  </r>
  <r>
    <s v="ORD0012"/>
    <d v="2026-04-11T00:00:00"/>
    <s v="C059"/>
    <x v="0"/>
    <x v="3"/>
    <s v="Bookshelf"/>
    <n v="5"/>
    <n v="3500"/>
    <n v="0"/>
    <n v="2200"/>
    <n v="17500"/>
    <n v="0"/>
    <n v="11000"/>
    <n v="6500"/>
    <n v="0.37142857142857144"/>
    <x v="1"/>
    <x v="8"/>
  </r>
  <r>
    <s v="ORD0013"/>
    <d v="2026-02-23T00:00:00"/>
    <s v="C096"/>
    <x v="0"/>
    <x v="3"/>
    <s v="Office Chair"/>
    <n v="1"/>
    <n v="4500"/>
    <n v="0"/>
    <n v="3000"/>
    <n v="4500"/>
    <n v="0"/>
    <n v="3000"/>
    <n v="1500"/>
    <n v="0.33333333333333331"/>
    <x v="1"/>
    <x v="9"/>
  </r>
  <r>
    <s v="ORD0014"/>
    <d v="2025-04-21T00:00:00"/>
    <s v="C011"/>
    <x v="2"/>
    <x v="2"/>
    <s v="Monitor"/>
    <n v="7"/>
    <n v="9000"/>
    <n v="0"/>
    <n v="6500"/>
    <n v="63000"/>
    <n v="0"/>
    <n v="45500"/>
    <n v="17500"/>
    <n v="0.27777777777777779"/>
    <x v="0"/>
    <x v="8"/>
  </r>
  <r>
    <s v="ORD0015"/>
    <d v="2026-01-31T00:00:00"/>
    <s v="C012"/>
    <x v="3"/>
    <x v="2"/>
    <s v="Headphones"/>
    <n v="6"/>
    <n v="1500"/>
    <n v="0"/>
    <n v="900"/>
    <n v="9000"/>
    <n v="0"/>
    <n v="5400"/>
    <n v="3600"/>
    <n v="0.4"/>
    <x v="1"/>
    <x v="1"/>
  </r>
  <r>
    <s v="ORD0016"/>
    <d v="2025-12-27T00:00:00"/>
    <s v="C053"/>
    <x v="3"/>
    <x v="1"/>
    <s v="Pen Set"/>
    <n v="7"/>
    <n v="150"/>
    <n v="0"/>
    <n v="60"/>
    <n v="1050"/>
    <n v="0"/>
    <n v="420"/>
    <n v="630"/>
    <n v="0.6"/>
    <x v="0"/>
    <x v="4"/>
  </r>
  <r>
    <s v="ORD0017"/>
    <d v="2025-11-12T00:00:00"/>
    <s v="C058"/>
    <x v="2"/>
    <x v="1"/>
    <s v="Stapler"/>
    <n v="3"/>
    <n v="200"/>
    <n v="0"/>
    <n v="90"/>
    <n v="600"/>
    <n v="0"/>
    <n v="270"/>
    <n v="330"/>
    <n v="0.55000000000000004"/>
    <x v="0"/>
    <x v="10"/>
  </r>
  <r>
    <s v="ORD0018"/>
    <d v="2026-11-03T00:00:00"/>
    <s v="C099"/>
    <x v="3"/>
    <x v="3"/>
    <s v="Cabinet"/>
    <n v="8"/>
    <n v="4000"/>
    <n v="0.05"/>
    <n v="2700"/>
    <n v="32000"/>
    <n v="1600"/>
    <n v="21600"/>
    <n v="8800"/>
    <n v="0.27500000000000002"/>
    <x v="1"/>
    <x v="10"/>
  </r>
  <r>
    <s v="ORD0019"/>
    <d v="2026-06-29T00:00:00"/>
    <s v="C099"/>
    <x v="3"/>
    <x v="0"/>
    <s v="Webcam"/>
    <n v="4"/>
    <n v="2000"/>
    <n v="0.1"/>
    <n v="1200"/>
    <n v="8000"/>
    <n v="800"/>
    <n v="4800"/>
    <n v="2400"/>
    <n v="0.3"/>
    <x v="1"/>
    <x v="2"/>
  </r>
  <r>
    <s v="ORD0020"/>
    <d v="2025-08-30T00:00:00"/>
    <s v="C021"/>
    <x v="2"/>
    <x v="2"/>
    <s v="Headphones"/>
    <n v="1"/>
    <n v="1500"/>
    <n v="0.15"/>
    <n v="900"/>
    <n v="1500"/>
    <n v="225"/>
    <n v="900"/>
    <n v="375"/>
    <n v="0.25"/>
    <x v="0"/>
    <x v="6"/>
  </r>
  <r>
    <s v="ORD0021"/>
    <d v="2025-02-12T00:00:00"/>
    <s v="C036"/>
    <x v="0"/>
    <x v="1"/>
    <s v="Stapler"/>
    <n v="6"/>
    <n v="200"/>
    <n v="0.1"/>
    <n v="90"/>
    <n v="1200"/>
    <n v="120"/>
    <n v="540"/>
    <n v="540"/>
    <n v="0.45"/>
    <x v="0"/>
    <x v="9"/>
  </r>
  <r>
    <s v="ORD0022"/>
    <d v="2025-12-23T00:00:00"/>
    <s v="C024"/>
    <x v="0"/>
    <x v="3"/>
    <s v="Office Chair"/>
    <n v="8"/>
    <n v="4500"/>
    <n v="0.15"/>
    <n v="3000"/>
    <n v="36000"/>
    <n v="5400"/>
    <n v="24000"/>
    <n v="6600"/>
    <n v="0.18333333333333332"/>
    <x v="0"/>
    <x v="4"/>
  </r>
  <r>
    <s v="ORD0023"/>
    <d v="2026-01-29T00:00:00"/>
    <s v="C019"/>
    <x v="2"/>
    <x v="0"/>
    <s v="Webcam"/>
    <n v="7"/>
    <n v="2000"/>
    <n v="0.15"/>
    <n v="1200"/>
    <n v="14000"/>
    <n v="2100"/>
    <n v="8400"/>
    <n v="3500"/>
    <n v="0.25"/>
    <x v="1"/>
    <x v="1"/>
  </r>
  <r>
    <s v="ORD0024"/>
    <d v="2025-09-19T00:00:00"/>
    <s v="C019"/>
    <x v="3"/>
    <x v="2"/>
    <s v="Monitor"/>
    <n v="8"/>
    <n v="9000"/>
    <n v="0"/>
    <n v="6500"/>
    <n v="72000"/>
    <n v="0"/>
    <n v="52000"/>
    <n v="20000"/>
    <n v="0.27777777777777779"/>
    <x v="0"/>
    <x v="0"/>
  </r>
  <r>
    <s v="ORD0025"/>
    <d v="2026-07-29T00:00:00"/>
    <s v="C041"/>
    <x v="0"/>
    <x v="2"/>
    <s v="Keyboard"/>
    <n v="7"/>
    <n v="1200"/>
    <n v="0.1"/>
    <n v="750"/>
    <n v="8400"/>
    <n v="840"/>
    <n v="5250"/>
    <n v="2310"/>
    <n v="0.27500000000000002"/>
    <x v="1"/>
    <x v="5"/>
  </r>
  <r>
    <s v="ORD0026"/>
    <d v="2025-01-21T00:00:00"/>
    <s v="C003"/>
    <x v="1"/>
    <x v="1"/>
    <s v="Stapler"/>
    <n v="3"/>
    <n v="200"/>
    <n v="0.15"/>
    <n v="90"/>
    <n v="600"/>
    <n v="90"/>
    <n v="270"/>
    <n v="240"/>
    <n v="0.4"/>
    <x v="0"/>
    <x v="1"/>
  </r>
  <r>
    <s v="ORD0027"/>
    <d v="2025-04-18T00:00:00"/>
    <s v="C095"/>
    <x v="1"/>
    <x v="3"/>
    <s v="Cabinet"/>
    <n v="1"/>
    <n v="4000"/>
    <n v="0.1"/>
    <n v="2700"/>
    <n v="4000"/>
    <n v="400"/>
    <n v="2700"/>
    <n v="900"/>
    <n v="0.22500000000000001"/>
    <x v="0"/>
    <x v="8"/>
  </r>
  <r>
    <s v="ORD0028"/>
    <d v="2025-02-22T00:00:00"/>
    <s v="C052"/>
    <x v="3"/>
    <x v="0"/>
    <s v="Webcam"/>
    <n v="7"/>
    <n v="2000"/>
    <n v="0.15"/>
    <n v="1200"/>
    <n v="14000"/>
    <n v="2100"/>
    <n v="8400"/>
    <n v="3500"/>
    <n v="0.25"/>
    <x v="0"/>
    <x v="9"/>
  </r>
  <r>
    <s v="ORD0029"/>
    <d v="2025-07-02T00:00:00"/>
    <s v="C086"/>
    <x v="3"/>
    <x v="1"/>
    <s v="Printer Paper"/>
    <n v="1"/>
    <n v="300"/>
    <n v="0"/>
    <n v="180"/>
    <n v="300"/>
    <n v="0"/>
    <n v="180"/>
    <n v="120"/>
    <n v="0.4"/>
    <x v="0"/>
    <x v="5"/>
  </r>
  <r>
    <s v="ORD0030"/>
    <d v="2025-09-23T00:00:00"/>
    <s v="C016"/>
    <x v="1"/>
    <x v="0"/>
    <s v="Laptop Stand"/>
    <n v="8"/>
    <n v="800"/>
    <n v="0.15"/>
    <n v="450"/>
    <n v="6400"/>
    <n v="960"/>
    <n v="3600"/>
    <n v="1840"/>
    <n v="0.28749999999999998"/>
    <x v="0"/>
    <x v="0"/>
  </r>
  <r>
    <s v="ORD0031"/>
    <d v="2025-01-09T00:00:00"/>
    <s v="C097"/>
    <x v="0"/>
    <x v="3"/>
    <s v="Bookshelf"/>
    <n v="6"/>
    <n v="3500"/>
    <n v="0"/>
    <n v="2200"/>
    <n v="21000"/>
    <n v="0"/>
    <n v="13200"/>
    <n v="7800"/>
    <n v="0.37142857142857144"/>
    <x v="0"/>
    <x v="1"/>
  </r>
  <r>
    <s v="ORD0032"/>
    <d v="2025-07-11T00:00:00"/>
    <s v="C069"/>
    <x v="3"/>
    <x v="1"/>
    <s v="Printer Paper"/>
    <n v="3"/>
    <n v="300"/>
    <n v="0.05"/>
    <n v="180"/>
    <n v="900"/>
    <n v="45"/>
    <n v="540"/>
    <n v="315"/>
    <n v="0.35"/>
    <x v="0"/>
    <x v="5"/>
  </r>
  <r>
    <s v="ORD0033"/>
    <d v="2025-09-30T00:00:00"/>
    <s v="C078"/>
    <x v="1"/>
    <x v="3"/>
    <s v="Desk"/>
    <n v="7"/>
    <n v="6000"/>
    <n v="0"/>
    <n v="4000"/>
    <n v="42000"/>
    <n v="0"/>
    <n v="28000"/>
    <n v="14000"/>
    <n v="0.33333333333333331"/>
    <x v="0"/>
    <x v="0"/>
  </r>
  <r>
    <s v="ORD0034"/>
    <d v="2025-11-05T00:00:00"/>
    <s v="C011"/>
    <x v="0"/>
    <x v="1"/>
    <s v="Printer Paper"/>
    <n v="3"/>
    <n v="300"/>
    <n v="0"/>
    <n v="180"/>
    <n v="900"/>
    <n v="0"/>
    <n v="540"/>
    <n v="360"/>
    <n v="0.4"/>
    <x v="0"/>
    <x v="10"/>
  </r>
  <r>
    <s v="ORD0035"/>
    <d v="2026-12-26T00:00:00"/>
    <s v="C058"/>
    <x v="3"/>
    <x v="2"/>
    <s v="Keyboard"/>
    <n v="8"/>
    <n v="1200"/>
    <n v="0.05"/>
    <n v="750"/>
    <n v="9600"/>
    <n v="480"/>
    <n v="6000"/>
    <n v="3120"/>
    <n v="0.32500000000000001"/>
    <x v="1"/>
    <x v="4"/>
  </r>
  <r>
    <s v="ORD0036"/>
    <d v="2025-04-26T00:00:00"/>
    <s v="C052"/>
    <x v="0"/>
    <x v="0"/>
    <s v="Laptop Stand"/>
    <n v="4"/>
    <n v="800"/>
    <n v="0.1"/>
    <n v="450"/>
    <n v="3200"/>
    <n v="320"/>
    <n v="1800"/>
    <n v="1080"/>
    <n v="0.33750000000000002"/>
    <x v="0"/>
    <x v="8"/>
  </r>
  <r>
    <s v="ORD0037"/>
    <d v="2025-01-19T00:00:00"/>
    <s v="C038"/>
    <x v="1"/>
    <x v="2"/>
    <s v="Keyboard"/>
    <n v="6"/>
    <n v="1200"/>
    <n v="0"/>
    <n v="750"/>
    <n v="7200"/>
    <n v="0"/>
    <n v="4500"/>
    <n v="2700"/>
    <n v="0.375"/>
    <x v="0"/>
    <x v="1"/>
  </r>
  <r>
    <s v="ORD0038"/>
    <d v="2026-04-03T00:00:00"/>
    <s v="C087"/>
    <x v="1"/>
    <x v="3"/>
    <s v="Desk"/>
    <n v="2"/>
    <n v="6000"/>
    <n v="0.1"/>
    <n v="4000"/>
    <n v="12000"/>
    <n v="1200"/>
    <n v="8000"/>
    <n v="2800"/>
    <n v="0.23333333333333334"/>
    <x v="1"/>
    <x v="8"/>
  </r>
  <r>
    <s v="ORD0039"/>
    <d v="2025-01-28T00:00:00"/>
    <s v="C092"/>
    <x v="0"/>
    <x v="3"/>
    <s v="Bookshelf"/>
    <n v="7"/>
    <n v="3500"/>
    <n v="0.05"/>
    <n v="2200"/>
    <n v="24500"/>
    <n v="1225"/>
    <n v="15400"/>
    <n v="7875"/>
    <n v="0.32142857142857145"/>
    <x v="0"/>
    <x v="1"/>
  </r>
  <r>
    <s v="ORD0040"/>
    <d v="2026-06-18T00:00:00"/>
    <s v="C002"/>
    <x v="0"/>
    <x v="0"/>
    <s v="USB Hub"/>
    <n v="7"/>
    <n v="700"/>
    <n v="0"/>
    <n v="400"/>
    <n v="4900"/>
    <n v="0"/>
    <n v="2800"/>
    <n v="2100"/>
    <n v="0.42857142857142855"/>
    <x v="1"/>
    <x v="2"/>
  </r>
  <r>
    <s v="ORD0041"/>
    <d v="2025-06-21T00:00:00"/>
    <s v="C076"/>
    <x v="3"/>
    <x v="2"/>
    <s v="Keyboard"/>
    <n v="3"/>
    <n v="1200"/>
    <n v="0.1"/>
    <n v="750"/>
    <n v="3600"/>
    <n v="360"/>
    <n v="2250"/>
    <n v="990"/>
    <n v="0.27500000000000002"/>
    <x v="0"/>
    <x v="2"/>
  </r>
  <r>
    <s v="ORD0042"/>
    <d v="2025-06-12T00:00:00"/>
    <s v="C014"/>
    <x v="2"/>
    <x v="3"/>
    <s v="Desk"/>
    <n v="6"/>
    <n v="6000"/>
    <n v="0.15"/>
    <n v="4000"/>
    <n v="36000"/>
    <n v="5400"/>
    <n v="24000"/>
    <n v="6600"/>
    <n v="0.18333333333333332"/>
    <x v="0"/>
    <x v="2"/>
  </r>
  <r>
    <s v="ORD0043"/>
    <d v="2026-05-02T00:00:00"/>
    <s v="C053"/>
    <x v="3"/>
    <x v="1"/>
    <s v="Pen Set"/>
    <n v="5"/>
    <n v="150"/>
    <n v="0.05"/>
    <n v="60"/>
    <n v="750"/>
    <n v="37.5"/>
    <n v="300"/>
    <n v="412.5"/>
    <n v="0.55000000000000004"/>
    <x v="1"/>
    <x v="11"/>
  </r>
  <r>
    <s v="ORD0044"/>
    <d v="2026-01-26T00:00:00"/>
    <s v="C016"/>
    <x v="1"/>
    <x v="1"/>
    <s v="Printer Paper"/>
    <n v="5"/>
    <n v="300"/>
    <n v="0"/>
    <n v="180"/>
    <n v="1500"/>
    <n v="0"/>
    <n v="900"/>
    <n v="600"/>
    <n v="0.4"/>
    <x v="1"/>
    <x v="1"/>
  </r>
  <r>
    <s v="ORD0045"/>
    <d v="2026-11-04T00:00:00"/>
    <s v="C075"/>
    <x v="3"/>
    <x v="1"/>
    <s v="Printer Paper"/>
    <n v="3"/>
    <n v="300"/>
    <n v="0"/>
    <n v="180"/>
    <n v="900"/>
    <n v="0"/>
    <n v="540"/>
    <n v="360"/>
    <n v="0.4"/>
    <x v="1"/>
    <x v="10"/>
  </r>
  <r>
    <s v="ORD0046"/>
    <d v="2025-10-22T00:00:00"/>
    <s v="C095"/>
    <x v="2"/>
    <x v="0"/>
    <s v="USB Hub"/>
    <n v="2"/>
    <n v="700"/>
    <n v="0.05"/>
    <n v="400"/>
    <n v="1400"/>
    <n v="70"/>
    <n v="800"/>
    <n v="530"/>
    <n v="0.37857142857142856"/>
    <x v="0"/>
    <x v="7"/>
  </r>
  <r>
    <s v="ORD0047"/>
    <d v="2025-02-08T00:00:00"/>
    <s v="C062"/>
    <x v="3"/>
    <x v="2"/>
    <s v="Monitor"/>
    <n v="8"/>
    <n v="9000"/>
    <n v="0.15"/>
    <n v="6500"/>
    <n v="72000"/>
    <n v="10800"/>
    <n v="52000"/>
    <n v="9200"/>
    <n v="0.12777777777777777"/>
    <x v="0"/>
    <x v="9"/>
  </r>
  <r>
    <s v="ORD0048"/>
    <d v="2025-02-02T00:00:00"/>
    <s v="C015"/>
    <x v="2"/>
    <x v="0"/>
    <s v="Laptop Stand"/>
    <n v="4"/>
    <n v="800"/>
    <n v="0.15"/>
    <n v="450"/>
    <n v="3200"/>
    <n v="480"/>
    <n v="1800"/>
    <n v="920"/>
    <n v="0.28749999999999998"/>
    <x v="0"/>
    <x v="9"/>
  </r>
  <r>
    <s v="ORD0049"/>
    <d v="2026-12-04T00:00:00"/>
    <s v="C061"/>
    <x v="2"/>
    <x v="2"/>
    <s v="Headphones"/>
    <n v="6"/>
    <n v="1500"/>
    <n v="0"/>
    <n v="900"/>
    <n v="9000"/>
    <n v="0"/>
    <n v="5400"/>
    <n v="3600"/>
    <n v="0.4"/>
    <x v="1"/>
    <x v="4"/>
  </r>
  <r>
    <s v="ORD0050"/>
    <d v="2026-06-03T00:00:00"/>
    <s v="C066"/>
    <x v="2"/>
    <x v="2"/>
    <s v="Mouse"/>
    <n v="6"/>
    <n v="500"/>
    <n v="0.1"/>
    <n v="250"/>
    <n v="3000"/>
    <n v="300"/>
    <n v="1500"/>
    <n v="1200"/>
    <n v="0.4"/>
    <x v="1"/>
    <x v="2"/>
  </r>
  <r>
    <s v="ORD0051"/>
    <d v="2025-12-07T00:00:00"/>
    <s v="C033"/>
    <x v="3"/>
    <x v="0"/>
    <s v="Laptop Stand"/>
    <n v="3"/>
    <n v="800"/>
    <n v="0.15"/>
    <n v="450"/>
    <n v="2400"/>
    <n v="360"/>
    <n v="1350"/>
    <n v="690"/>
    <n v="0.28749999999999998"/>
    <x v="0"/>
    <x v="4"/>
  </r>
  <r>
    <s v="ORD0052"/>
    <d v="2026-08-11T00:00:00"/>
    <s v="C042"/>
    <x v="1"/>
    <x v="2"/>
    <s v="Headphones"/>
    <n v="7"/>
    <n v="1500"/>
    <n v="0.15"/>
    <n v="900"/>
    <n v="10500"/>
    <n v="1575"/>
    <n v="6300"/>
    <n v="2625"/>
    <n v="0.25"/>
    <x v="1"/>
    <x v="6"/>
  </r>
  <r>
    <s v="ORD0053"/>
    <d v="2025-09-07T00:00:00"/>
    <s v="C041"/>
    <x v="1"/>
    <x v="3"/>
    <s v="Office Chair"/>
    <n v="5"/>
    <n v="4500"/>
    <n v="0"/>
    <n v="3000"/>
    <n v="22500"/>
    <n v="0"/>
    <n v="15000"/>
    <n v="7500"/>
    <n v="0.33333333333333331"/>
    <x v="0"/>
    <x v="0"/>
  </r>
  <r>
    <s v="ORD0054"/>
    <d v="2025-08-12T00:00:00"/>
    <s v="C040"/>
    <x v="2"/>
    <x v="3"/>
    <s v="Cabinet"/>
    <n v="1"/>
    <n v="4000"/>
    <n v="0"/>
    <n v="2700"/>
    <n v="4000"/>
    <n v="0"/>
    <n v="2700"/>
    <n v="1300"/>
    <n v="0.32500000000000001"/>
    <x v="0"/>
    <x v="6"/>
  </r>
  <r>
    <s v="ORD0055"/>
    <d v="2025-11-08T00:00:00"/>
    <s v="C042"/>
    <x v="0"/>
    <x v="2"/>
    <s v="Mouse"/>
    <n v="1"/>
    <n v="500"/>
    <n v="0.05"/>
    <n v="250"/>
    <n v="500"/>
    <n v="25"/>
    <n v="250"/>
    <n v="225"/>
    <n v="0.45"/>
    <x v="0"/>
    <x v="10"/>
  </r>
  <r>
    <s v="ORD0056"/>
    <d v="2025-07-03T00:00:00"/>
    <s v="C021"/>
    <x v="1"/>
    <x v="1"/>
    <s v="Notebook"/>
    <n v="3"/>
    <n v="100"/>
    <n v="0.15"/>
    <n v="40"/>
    <n v="300"/>
    <n v="45"/>
    <n v="120"/>
    <n v="135"/>
    <n v="0.45"/>
    <x v="0"/>
    <x v="5"/>
  </r>
  <r>
    <s v="ORD0057"/>
    <d v="2025-07-06T00:00:00"/>
    <s v="C008"/>
    <x v="2"/>
    <x v="0"/>
    <s v="Mouse Pad"/>
    <n v="2"/>
    <n v="250"/>
    <n v="0.15"/>
    <n v="100"/>
    <n v="500"/>
    <n v="75"/>
    <n v="200"/>
    <n v="225"/>
    <n v="0.45"/>
    <x v="0"/>
    <x v="5"/>
  </r>
  <r>
    <s v="ORD0058"/>
    <d v="2025-12-19T00:00:00"/>
    <s v="C023"/>
    <x v="1"/>
    <x v="2"/>
    <s v="Monitor"/>
    <n v="4"/>
    <n v="9000"/>
    <n v="0.15"/>
    <n v="6500"/>
    <n v="36000"/>
    <n v="5400"/>
    <n v="26000"/>
    <n v="4600"/>
    <n v="0.12777777777777777"/>
    <x v="0"/>
    <x v="4"/>
  </r>
  <r>
    <s v="ORD0059"/>
    <d v="2025-10-03T00:00:00"/>
    <s v="C001"/>
    <x v="0"/>
    <x v="0"/>
    <s v="USB Hub"/>
    <n v="3"/>
    <n v="700"/>
    <n v="0"/>
    <n v="400"/>
    <n v="2100"/>
    <n v="0"/>
    <n v="1200"/>
    <n v="900"/>
    <n v="0.42857142857142855"/>
    <x v="0"/>
    <x v="7"/>
  </r>
  <r>
    <s v="ORD0060"/>
    <d v="2025-05-17T00:00:00"/>
    <s v="C039"/>
    <x v="3"/>
    <x v="2"/>
    <s v="Headphones"/>
    <n v="1"/>
    <n v="1500"/>
    <n v="0.05"/>
    <n v="900"/>
    <n v="1500"/>
    <n v="75"/>
    <n v="900"/>
    <n v="525"/>
    <n v="0.35"/>
    <x v="0"/>
    <x v="11"/>
  </r>
  <r>
    <s v="ORD0061"/>
    <d v="2026-07-23T00:00:00"/>
    <s v="C099"/>
    <x v="1"/>
    <x v="0"/>
    <s v="USB Hub"/>
    <n v="7"/>
    <n v="700"/>
    <n v="0.1"/>
    <n v="400"/>
    <n v="4900"/>
    <n v="490"/>
    <n v="2800"/>
    <n v="1610"/>
    <n v="0.32857142857142857"/>
    <x v="1"/>
    <x v="5"/>
  </r>
  <r>
    <s v="ORD0062"/>
    <d v="2025-03-01T00:00:00"/>
    <s v="C087"/>
    <x v="2"/>
    <x v="1"/>
    <s v="Notebook"/>
    <n v="4"/>
    <n v="100"/>
    <n v="0.1"/>
    <n v="40"/>
    <n v="400"/>
    <n v="40"/>
    <n v="160"/>
    <n v="200"/>
    <n v="0.5"/>
    <x v="0"/>
    <x v="3"/>
  </r>
  <r>
    <s v="ORD0063"/>
    <d v="2026-09-09T00:00:00"/>
    <s v="C033"/>
    <x v="1"/>
    <x v="3"/>
    <s v="Bookshelf"/>
    <n v="2"/>
    <n v="3500"/>
    <n v="0.05"/>
    <n v="2200"/>
    <n v="7000"/>
    <n v="350"/>
    <n v="4400"/>
    <n v="2250"/>
    <n v="0.32142857142857145"/>
    <x v="1"/>
    <x v="0"/>
  </r>
  <r>
    <s v="ORD0064"/>
    <d v="2025-03-10T00:00:00"/>
    <s v="C093"/>
    <x v="0"/>
    <x v="3"/>
    <s v="Desk"/>
    <n v="1"/>
    <n v="6000"/>
    <n v="0.15"/>
    <n v="4000"/>
    <n v="6000"/>
    <n v="900"/>
    <n v="4000"/>
    <n v="1100"/>
    <n v="0.18333333333333332"/>
    <x v="0"/>
    <x v="3"/>
  </r>
  <r>
    <s v="ORD0065"/>
    <d v="2025-07-09T00:00:00"/>
    <s v="C034"/>
    <x v="2"/>
    <x v="1"/>
    <s v="Printer Paper"/>
    <n v="6"/>
    <n v="300"/>
    <n v="0.1"/>
    <n v="180"/>
    <n v="1800"/>
    <n v="180"/>
    <n v="1080"/>
    <n v="540"/>
    <n v="0.3"/>
    <x v="0"/>
    <x v="5"/>
  </r>
  <r>
    <s v="ORD0066"/>
    <d v="2025-08-18T00:00:00"/>
    <s v="C015"/>
    <x v="2"/>
    <x v="0"/>
    <s v="Mouse Pad"/>
    <n v="6"/>
    <n v="250"/>
    <n v="0.15"/>
    <n v="100"/>
    <n v="1500"/>
    <n v="225"/>
    <n v="600"/>
    <n v="675"/>
    <n v="0.45"/>
    <x v="0"/>
    <x v="6"/>
  </r>
  <r>
    <s v="ORD0067"/>
    <d v="2025-06-21T00:00:00"/>
    <s v="C013"/>
    <x v="1"/>
    <x v="0"/>
    <s v="Mouse Pad"/>
    <n v="6"/>
    <n v="250"/>
    <n v="0.15"/>
    <n v="100"/>
    <n v="1500"/>
    <n v="225"/>
    <n v="600"/>
    <n v="675"/>
    <n v="0.45"/>
    <x v="0"/>
    <x v="2"/>
  </r>
  <r>
    <s v="ORD0068"/>
    <d v="2025-07-20T00:00:00"/>
    <s v="C076"/>
    <x v="3"/>
    <x v="2"/>
    <s v="Headphones"/>
    <n v="3"/>
    <n v="1500"/>
    <n v="0.05"/>
    <n v="900"/>
    <n v="4500"/>
    <n v="225"/>
    <n v="2700"/>
    <n v="1575"/>
    <n v="0.35"/>
    <x v="0"/>
    <x v="5"/>
  </r>
  <r>
    <s v="ORD0069"/>
    <d v="2025-09-20T00:00:00"/>
    <s v="C085"/>
    <x v="2"/>
    <x v="3"/>
    <s v="Cabinet"/>
    <n v="6"/>
    <n v="4000"/>
    <n v="0.1"/>
    <n v="2700"/>
    <n v="24000"/>
    <n v="2400"/>
    <n v="16200"/>
    <n v="5400"/>
    <n v="0.22500000000000001"/>
    <x v="0"/>
    <x v="0"/>
  </r>
  <r>
    <s v="ORD0070"/>
    <d v="2025-06-21T00:00:00"/>
    <s v="C064"/>
    <x v="0"/>
    <x v="3"/>
    <s v="Bookshelf"/>
    <n v="4"/>
    <n v="3500"/>
    <n v="0.05"/>
    <n v="2200"/>
    <n v="14000"/>
    <n v="700"/>
    <n v="8800"/>
    <n v="4500"/>
    <n v="0.32142857142857145"/>
    <x v="0"/>
    <x v="2"/>
  </r>
  <r>
    <s v="ORD0071"/>
    <d v="2025-10-13T00:00:00"/>
    <s v="C098"/>
    <x v="2"/>
    <x v="2"/>
    <s v="Headphones"/>
    <n v="2"/>
    <n v="1500"/>
    <n v="0"/>
    <n v="900"/>
    <n v="3000"/>
    <n v="0"/>
    <n v="1800"/>
    <n v="1200"/>
    <n v="0.4"/>
    <x v="0"/>
    <x v="7"/>
  </r>
  <r>
    <s v="ORD0072"/>
    <d v="2025-12-20T00:00:00"/>
    <s v="C013"/>
    <x v="2"/>
    <x v="1"/>
    <s v="Printer Paper"/>
    <n v="8"/>
    <n v="300"/>
    <n v="0.1"/>
    <n v="180"/>
    <n v="2400"/>
    <n v="240"/>
    <n v="1440"/>
    <n v="720"/>
    <n v="0.3"/>
    <x v="0"/>
    <x v="4"/>
  </r>
  <r>
    <s v="ORD0073"/>
    <d v="2026-05-25T00:00:00"/>
    <s v="C023"/>
    <x v="3"/>
    <x v="0"/>
    <s v="Webcam"/>
    <n v="8"/>
    <n v="2000"/>
    <n v="0.05"/>
    <n v="1200"/>
    <n v="16000"/>
    <n v="800"/>
    <n v="9600"/>
    <n v="5600"/>
    <n v="0.35"/>
    <x v="1"/>
    <x v="11"/>
  </r>
  <r>
    <s v="ORD0074"/>
    <d v="2025-12-24T00:00:00"/>
    <s v="C040"/>
    <x v="0"/>
    <x v="3"/>
    <s v="Bookshelf"/>
    <n v="2"/>
    <n v="3500"/>
    <n v="0.15"/>
    <n v="2200"/>
    <n v="7000"/>
    <n v="1050"/>
    <n v="4400"/>
    <n v="1550"/>
    <n v="0.22142857142857142"/>
    <x v="0"/>
    <x v="4"/>
  </r>
  <r>
    <s v="ORD0075"/>
    <d v="2025-07-01T00:00:00"/>
    <s v="C004"/>
    <x v="3"/>
    <x v="2"/>
    <s v="Mouse"/>
    <n v="2"/>
    <n v="500"/>
    <n v="0.1"/>
    <n v="250"/>
    <n v="1000"/>
    <n v="100"/>
    <n v="500"/>
    <n v="400"/>
    <n v="0.4"/>
    <x v="0"/>
    <x v="5"/>
  </r>
  <r>
    <s v="ORD0076"/>
    <d v="2025-08-10T00:00:00"/>
    <s v="C051"/>
    <x v="0"/>
    <x v="2"/>
    <s v="Headphones"/>
    <n v="8"/>
    <n v="1500"/>
    <n v="0.1"/>
    <n v="900"/>
    <n v="12000"/>
    <n v="1200"/>
    <n v="7200"/>
    <n v="3600"/>
    <n v="0.3"/>
    <x v="0"/>
    <x v="6"/>
  </r>
  <r>
    <s v="ORD0077"/>
    <d v="2025-01-07T00:00:00"/>
    <s v="C025"/>
    <x v="3"/>
    <x v="2"/>
    <s v="Mouse"/>
    <n v="5"/>
    <n v="500"/>
    <n v="0"/>
    <n v="250"/>
    <n v="2500"/>
    <n v="0"/>
    <n v="1250"/>
    <n v="1250"/>
    <n v="0.5"/>
    <x v="0"/>
    <x v="1"/>
  </r>
  <r>
    <s v="ORD0078"/>
    <d v="2025-02-13T00:00:00"/>
    <s v="C090"/>
    <x v="0"/>
    <x v="2"/>
    <s v="Monitor"/>
    <n v="7"/>
    <n v="9000"/>
    <n v="0.1"/>
    <n v="6500"/>
    <n v="63000"/>
    <n v="6300"/>
    <n v="45500"/>
    <n v="11200"/>
    <n v="0.17777777777777778"/>
    <x v="0"/>
    <x v="9"/>
  </r>
  <r>
    <s v="ORD0079"/>
    <d v="2026-01-20T00:00:00"/>
    <s v="C056"/>
    <x v="2"/>
    <x v="0"/>
    <s v="Laptop Stand"/>
    <n v="8"/>
    <n v="800"/>
    <n v="0.1"/>
    <n v="450"/>
    <n v="6400"/>
    <n v="640"/>
    <n v="3600"/>
    <n v="2160"/>
    <n v="0.33750000000000002"/>
    <x v="1"/>
    <x v="1"/>
  </r>
  <r>
    <s v="ORD0080"/>
    <d v="2026-06-15T00:00:00"/>
    <s v="C092"/>
    <x v="2"/>
    <x v="1"/>
    <s v="Notebook"/>
    <n v="4"/>
    <n v="100"/>
    <n v="0.1"/>
    <n v="40"/>
    <n v="400"/>
    <n v="40"/>
    <n v="160"/>
    <n v="200"/>
    <n v="0.5"/>
    <x v="1"/>
    <x v="2"/>
  </r>
  <r>
    <s v="ORD0081"/>
    <d v="2025-08-07T00:00:00"/>
    <s v="C044"/>
    <x v="2"/>
    <x v="3"/>
    <s v="Bookshelf"/>
    <n v="5"/>
    <n v="3500"/>
    <n v="0.15"/>
    <n v="2200"/>
    <n v="17500"/>
    <n v="2625"/>
    <n v="11000"/>
    <n v="3875"/>
    <n v="0.22142857142857142"/>
    <x v="0"/>
    <x v="6"/>
  </r>
  <r>
    <s v="ORD0082"/>
    <d v="2026-08-02T00:00:00"/>
    <s v="C002"/>
    <x v="1"/>
    <x v="1"/>
    <s v="Pen Set"/>
    <n v="8"/>
    <n v="150"/>
    <n v="0.1"/>
    <n v="60"/>
    <n v="1200"/>
    <n v="120"/>
    <n v="480"/>
    <n v="600"/>
    <n v="0.5"/>
    <x v="1"/>
    <x v="6"/>
  </r>
  <r>
    <s v="ORD0083"/>
    <d v="2026-06-05T00:00:00"/>
    <s v="C024"/>
    <x v="0"/>
    <x v="0"/>
    <s v="Webcam"/>
    <n v="3"/>
    <n v="2000"/>
    <n v="0.1"/>
    <n v="1200"/>
    <n v="6000"/>
    <n v="600"/>
    <n v="3600"/>
    <n v="1800"/>
    <n v="0.3"/>
    <x v="1"/>
    <x v="2"/>
  </r>
  <r>
    <s v="ORD0084"/>
    <d v="2025-08-02T00:00:00"/>
    <s v="C065"/>
    <x v="0"/>
    <x v="1"/>
    <s v="Notebook"/>
    <n v="5"/>
    <n v="100"/>
    <n v="0"/>
    <n v="40"/>
    <n v="500"/>
    <n v="0"/>
    <n v="200"/>
    <n v="300"/>
    <n v="0.6"/>
    <x v="0"/>
    <x v="6"/>
  </r>
  <r>
    <s v="ORD0085"/>
    <d v="2026-09-11T00:00:00"/>
    <s v="C057"/>
    <x v="3"/>
    <x v="2"/>
    <s v="Monitor"/>
    <n v="1"/>
    <n v="9000"/>
    <n v="0.05"/>
    <n v="6500"/>
    <n v="9000"/>
    <n v="450"/>
    <n v="6500"/>
    <n v="2050"/>
    <n v="0.22777777777777777"/>
    <x v="1"/>
    <x v="0"/>
  </r>
  <r>
    <s v="ORD0086"/>
    <d v="2025-02-11T00:00:00"/>
    <s v="C052"/>
    <x v="0"/>
    <x v="1"/>
    <s v="Printer Paper"/>
    <n v="3"/>
    <n v="300"/>
    <n v="0"/>
    <n v="180"/>
    <n v="900"/>
    <n v="0"/>
    <n v="540"/>
    <n v="360"/>
    <n v="0.4"/>
    <x v="0"/>
    <x v="9"/>
  </r>
  <r>
    <s v="ORD0087"/>
    <d v="2025-10-19T00:00:00"/>
    <s v="C017"/>
    <x v="2"/>
    <x v="1"/>
    <s v="Stapler"/>
    <n v="1"/>
    <n v="200"/>
    <n v="0.15"/>
    <n v="90"/>
    <n v="200"/>
    <n v="30"/>
    <n v="90"/>
    <n v="80"/>
    <n v="0.4"/>
    <x v="0"/>
    <x v="7"/>
  </r>
  <r>
    <s v="ORD0088"/>
    <d v="2025-02-04T00:00:00"/>
    <s v="C012"/>
    <x v="3"/>
    <x v="1"/>
    <s v="Pen Set"/>
    <n v="4"/>
    <n v="150"/>
    <n v="0.15"/>
    <n v="60"/>
    <n v="600"/>
    <n v="90"/>
    <n v="240"/>
    <n v="270"/>
    <n v="0.45"/>
    <x v="0"/>
    <x v="9"/>
  </r>
  <r>
    <s v="ORD0089"/>
    <d v="2026-11-26T00:00:00"/>
    <s v="C061"/>
    <x v="1"/>
    <x v="2"/>
    <s v="Monitor"/>
    <n v="4"/>
    <n v="9000"/>
    <n v="0.15"/>
    <n v="6500"/>
    <n v="36000"/>
    <n v="5400"/>
    <n v="26000"/>
    <n v="4600"/>
    <n v="0.12777777777777777"/>
    <x v="1"/>
    <x v="10"/>
  </r>
  <r>
    <s v="ORD0090"/>
    <d v="2026-04-21T00:00:00"/>
    <s v="C084"/>
    <x v="3"/>
    <x v="0"/>
    <s v="Laptop Stand"/>
    <n v="7"/>
    <n v="800"/>
    <n v="0.15"/>
    <n v="450"/>
    <n v="5600"/>
    <n v="840"/>
    <n v="3150"/>
    <n v="1610"/>
    <n v="0.28749999999999998"/>
    <x v="1"/>
    <x v="8"/>
  </r>
  <r>
    <s v="ORD0091"/>
    <d v="2025-04-27T00:00:00"/>
    <s v="C018"/>
    <x v="1"/>
    <x v="3"/>
    <s v="Cabinet"/>
    <n v="3"/>
    <n v="4000"/>
    <n v="0.1"/>
    <n v="2700"/>
    <n v="12000"/>
    <n v="1200"/>
    <n v="8100"/>
    <n v="2700"/>
    <n v="0.22500000000000001"/>
    <x v="0"/>
    <x v="8"/>
  </r>
  <r>
    <s v="ORD0092"/>
    <d v="2025-01-12T00:00:00"/>
    <s v="C004"/>
    <x v="1"/>
    <x v="1"/>
    <s v="Notebook"/>
    <n v="7"/>
    <n v="100"/>
    <n v="0.1"/>
    <n v="40"/>
    <n v="700"/>
    <n v="70"/>
    <n v="280"/>
    <n v="350"/>
    <n v="0.5"/>
    <x v="0"/>
    <x v="1"/>
  </r>
  <r>
    <s v="ORD0093"/>
    <d v="2025-05-16T00:00:00"/>
    <s v="C073"/>
    <x v="2"/>
    <x v="2"/>
    <s v="Monitor"/>
    <n v="4"/>
    <n v="9000"/>
    <n v="0.05"/>
    <n v="6500"/>
    <n v="36000"/>
    <n v="1800"/>
    <n v="26000"/>
    <n v="8200"/>
    <n v="0.22777777777777777"/>
    <x v="0"/>
    <x v="11"/>
  </r>
  <r>
    <s v="ORD0094"/>
    <d v="2026-05-25T00:00:00"/>
    <s v="C044"/>
    <x v="1"/>
    <x v="2"/>
    <s v="Keyboard"/>
    <n v="2"/>
    <n v="1200"/>
    <n v="0.05"/>
    <n v="750"/>
    <n v="2400"/>
    <n v="120"/>
    <n v="1500"/>
    <n v="780"/>
    <n v="0.32500000000000001"/>
    <x v="1"/>
    <x v="11"/>
  </r>
  <r>
    <s v="ORD0095"/>
    <d v="2026-04-28T00:00:00"/>
    <s v="C037"/>
    <x v="3"/>
    <x v="2"/>
    <s v="Monitor"/>
    <n v="5"/>
    <n v="9000"/>
    <n v="0.05"/>
    <n v="6500"/>
    <n v="45000"/>
    <n v="2250"/>
    <n v="32500"/>
    <n v="10250"/>
    <n v="0.22777777777777777"/>
    <x v="1"/>
    <x v="8"/>
  </r>
  <r>
    <s v="ORD0096"/>
    <d v="2025-10-18T00:00:00"/>
    <s v="C063"/>
    <x v="1"/>
    <x v="1"/>
    <s v="Stapler"/>
    <n v="5"/>
    <n v="200"/>
    <n v="0.05"/>
    <n v="90"/>
    <n v="1000"/>
    <n v="50"/>
    <n v="450"/>
    <n v="500"/>
    <n v="0.5"/>
    <x v="0"/>
    <x v="7"/>
  </r>
  <r>
    <s v="ORD0097"/>
    <d v="2026-01-16T00:00:00"/>
    <s v="C072"/>
    <x v="2"/>
    <x v="3"/>
    <s v="Bookshelf"/>
    <n v="8"/>
    <n v="3500"/>
    <n v="0.1"/>
    <n v="2200"/>
    <n v="28000"/>
    <n v="2800"/>
    <n v="17600"/>
    <n v="7600"/>
    <n v="0.27142857142857141"/>
    <x v="1"/>
    <x v="1"/>
  </r>
  <r>
    <s v="ORD0098"/>
    <d v="2025-10-08T00:00:00"/>
    <s v="C008"/>
    <x v="3"/>
    <x v="2"/>
    <s v="Keyboard"/>
    <n v="6"/>
    <n v="1200"/>
    <n v="0"/>
    <n v="750"/>
    <n v="7200"/>
    <n v="0"/>
    <n v="4500"/>
    <n v="2700"/>
    <n v="0.375"/>
    <x v="0"/>
    <x v="7"/>
  </r>
  <r>
    <s v="ORD0099"/>
    <d v="2025-12-07T00:00:00"/>
    <s v="C074"/>
    <x v="2"/>
    <x v="3"/>
    <s v="Bookshelf"/>
    <n v="7"/>
    <n v="3500"/>
    <n v="0.15"/>
    <n v="2200"/>
    <n v="24500"/>
    <n v="3675"/>
    <n v="15400"/>
    <n v="5425"/>
    <n v="0.22142857142857142"/>
    <x v="0"/>
    <x v="4"/>
  </r>
  <r>
    <s v="ORD0100"/>
    <d v="2025-05-11T00:00:00"/>
    <s v="C080"/>
    <x v="1"/>
    <x v="2"/>
    <s v="Mouse"/>
    <n v="1"/>
    <n v="500"/>
    <n v="0.05"/>
    <n v="250"/>
    <n v="500"/>
    <n v="25"/>
    <n v="250"/>
    <n v="225"/>
    <n v="0.45"/>
    <x v="0"/>
    <x v="11"/>
  </r>
  <r>
    <s v="ORD0101"/>
    <d v="2025-05-22T00:00:00"/>
    <s v="C065"/>
    <x v="0"/>
    <x v="0"/>
    <s v="Mouse Pad"/>
    <n v="2"/>
    <n v="250"/>
    <n v="0"/>
    <n v="100"/>
    <n v="500"/>
    <n v="0"/>
    <n v="200"/>
    <n v="300"/>
    <n v="0.6"/>
    <x v="0"/>
    <x v="11"/>
  </r>
  <r>
    <s v="ORD0102"/>
    <d v="2025-02-28T00:00:00"/>
    <s v="C087"/>
    <x v="0"/>
    <x v="0"/>
    <s v="USB Hub"/>
    <n v="4"/>
    <n v="700"/>
    <n v="0.1"/>
    <n v="400"/>
    <n v="2800"/>
    <n v="280"/>
    <n v="1600"/>
    <n v="920"/>
    <n v="0.32857142857142857"/>
    <x v="0"/>
    <x v="9"/>
  </r>
  <r>
    <s v="ORD0103"/>
    <d v="2026-03-07T00:00:00"/>
    <s v="C066"/>
    <x v="3"/>
    <x v="3"/>
    <s v="Bookshelf"/>
    <n v="3"/>
    <n v="3500"/>
    <n v="0.05"/>
    <n v="2200"/>
    <n v="10500"/>
    <n v="525"/>
    <n v="6600"/>
    <n v="3375"/>
    <n v="0.32142857142857145"/>
    <x v="1"/>
    <x v="3"/>
  </r>
  <r>
    <s v="ORD0104"/>
    <d v="2026-09-08T00:00:00"/>
    <s v="C003"/>
    <x v="3"/>
    <x v="0"/>
    <s v="USB Hub"/>
    <n v="6"/>
    <n v="700"/>
    <n v="0"/>
    <n v="400"/>
    <n v="4200"/>
    <n v="0"/>
    <n v="2400"/>
    <n v="1800"/>
    <n v="0.42857142857142855"/>
    <x v="1"/>
    <x v="0"/>
  </r>
  <r>
    <s v="ORD0105"/>
    <d v="2025-09-26T00:00:00"/>
    <s v="C049"/>
    <x v="3"/>
    <x v="2"/>
    <s v="Monitor"/>
    <n v="1"/>
    <n v="9000"/>
    <n v="0.15"/>
    <n v="6500"/>
    <n v="9000"/>
    <n v="1350"/>
    <n v="6500"/>
    <n v="1150"/>
    <n v="0.12777777777777777"/>
    <x v="0"/>
    <x v="0"/>
  </r>
  <r>
    <s v="ORD0106"/>
    <d v="2026-08-13T00:00:00"/>
    <s v="C082"/>
    <x v="2"/>
    <x v="0"/>
    <s v="Mouse Pad"/>
    <n v="4"/>
    <n v="250"/>
    <n v="0.15"/>
    <n v="100"/>
    <n v="1000"/>
    <n v="150"/>
    <n v="400"/>
    <n v="450"/>
    <n v="0.45"/>
    <x v="1"/>
    <x v="6"/>
  </r>
  <r>
    <s v="ORD0107"/>
    <d v="2026-08-14T00:00:00"/>
    <s v="C073"/>
    <x v="2"/>
    <x v="0"/>
    <s v="Laptop Stand"/>
    <n v="3"/>
    <n v="800"/>
    <n v="0.15"/>
    <n v="450"/>
    <n v="2400"/>
    <n v="360"/>
    <n v="1350"/>
    <n v="690"/>
    <n v="0.28749999999999998"/>
    <x v="1"/>
    <x v="6"/>
  </r>
  <r>
    <s v="ORD0108"/>
    <d v="2026-12-15T00:00:00"/>
    <s v="C072"/>
    <x v="1"/>
    <x v="1"/>
    <s v="Pen Set"/>
    <n v="1"/>
    <n v="150"/>
    <n v="0.1"/>
    <n v="60"/>
    <n v="150"/>
    <n v="15"/>
    <n v="60"/>
    <n v="75"/>
    <n v="0.5"/>
    <x v="1"/>
    <x v="4"/>
  </r>
  <r>
    <s v="ORD0109"/>
    <d v="2026-06-01T00:00:00"/>
    <s v="C013"/>
    <x v="2"/>
    <x v="2"/>
    <s v="Monitor"/>
    <n v="5"/>
    <n v="9000"/>
    <n v="0.15"/>
    <n v="6500"/>
    <n v="45000"/>
    <n v="6750"/>
    <n v="32500"/>
    <n v="5750"/>
    <n v="0.12777777777777777"/>
    <x v="1"/>
    <x v="2"/>
  </r>
  <r>
    <s v="ORD0110"/>
    <d v="2025-10-30T00:00:00"/>
    <s v="C024"/>
    <x v="0"/>
    <x v="1"/>
    <s v="Stapler"/>
    <n v="5"/>
    <n v="200"/>
    <n v="0.15"/>
    <n v="90"/>
    <n v="1000"/>
    <n v="150"/>
    <n v="450"/>
    <n v="400"/>
    <n v="0.4"/>
    <x v="0"/>
    <x v="7"/>
  </r>
  <r>
    <s v="ORD0111"/>
    <d v="2026-01-25T00:00:00"/>
    <s v="C092"/>
    <x v="1"/>
    <x v="0"/>
    <s v="USB Hub"/>
    <n v="4"/>
    <n v="700"/>
    <n v="0.05"/>
    <n v="400"/>
    <n v="2800"/>
    <n v="140"/>
    <n v="1600"/>
    <n v="1060"/>
    <n v="0.37857142857142856"/>
    <x v="1"/>
    <x v="1"/>
  </r>
  <r>
    <s v="ORD0112"/>
    <d v="2026-08-16T00:00:00"/>
    <s v="C100"/>
    <x v="3"/>
    <x v="0"/>
    <s v="Mouse Pad"/>
    <n v="5"/>
    <n v="250"/>
    <n v="0.05"/>
    <n v="100"/>
    <n v="1250"/>
    <n v="62.5"/>
    <n v="500"/>
    <n v="687.5"/>
    <n v="0.55000000000000004"/>
    <x v="1"/>
    <x v="6"/>
  </r>
  <r>
    <s v="ORD0113"/>
    <d v="2025-08-26T00:00:00"/>
    <s v="C072"/>
    <x v="0"/>
    <x v="1"/>
    <s v="Pen Set"/>
    <n v="1"/>
    <n v="150"/>
    <n v="0"/>
    <n v="60"/>
    <n v="150"/>
    <n v="0"/>
    <n v="60"/>
    <n v="90"/>
    <n v="0.6"/>
    <x v="0"/>
    <x v="6"/>
  </r>
  <r>
    <s v="ORD0114"/>
    <d v="2025-02-02T00:00:00"/>
    <s v="C096"/>
    <x v="0"/>
    <x v="0"/>
    <s v="Mouse Pad"/>
    <n v="2"/>
    <n v="250"/>
    <n v="0.05"/>
    <n v="100"/>
    <n v="500"/>
    <n v="25"/>
    <n v="200"/>
    <n v="275"/>
    <n v="0.55000000000000004"/>
    <x v="0"/>
    <x v="9"/>
  </r>
  <r>
    <s v="ORD0115"/>
    <d v="2026-03-20T00:00:00"/>
    <s v="C069"/>
    <x v="3"/>
    <x v="1"/>
    <s v="Pen Set"/>
    <n v="2"/>
    <n v="150"/>
    <n v="0.15"/>
    <n v="60"/>
    <n v="300"/>
    <n v="45"/>
    <n v="120"/>
    <n v="135"/>
    <n v="0.45"/>
    <x v="1"/>
    <x v="3"/>
  </r>
  <r>
    <s v="ORD0116"/>
    <d v="2026-05-10T00:00:00"/>
    <s v="C014"/>
    <x v="0"/>
    <x v="0"/>
    <s v="Mouse Pad"/>
    <n v="7"/>
    <n v="250"/>
    <n v="0.05"/>
    <n v="100"/>
    <n v="1750"/>
    <n v="87.5"/>
    <n v="700"/>
    <n v="962.5"/>
    <n v="0.55000000000000004"/>
    <x v="1"/>
    <x v="11"/>
  </r>
  <r>
    <s v="ORD0117"/>
    <d v="2026-06-05T00:00:00"/>
    <s v="C020"/>
    <x v="1"/>
    <x v="2"/>
    <s v="Monitor"/>
    <n v="1"/>
    <n v="9000"/>
    <n v="0"/>
    <n v="6500"/>
    <n v="9000"/>
    <n v="0"/>
    <n v="6500"/>
    <n v="2500"/>
    <n v="0.27777777777777779"/>
    <x v="1"/>
    <x v="2"/>
  </r>
  <r>
    <s v="ORD0118"/>
    <d v="2026-05-26T00:00:00"/>
    <s v="C061"/>
    <x v="0"/>
    <x v="1"/>
    <s v="Stapler"/>
    <n v="3"/>
    <n v="200"/>
    <n v="0.15"/>
    <n v="90"/>
    <n v="600"/>
    <n v="90"/>
    <n v="270"/>
    <n v="240"/>
    <n v="0.4"/>
    <x v="1"/>
    <x v="11"/>
  </r>
  <r>
    <s v="ORD0119"/>
    <d v="2026-07-06T00:00:00"/>
    <s v="C068"/>
    <x v="2"/>
    <x v="0"/>
    <s v="USB Hub"/>
    <n v="7"/>
    <n v="700"/>
    <n v="0"/>
    <n v="400"/>
    <n v="4900"/>
    <n v="0"/>
    <n v="2800"/>
    <n v="2100"/>
    <n v="0.42857142857142855"/>
    <x v="1"/>
    <x v="5"/>
  </r>
  <r>
    <s v="ORD0120"/>
    <d v="2025-10-21T00:00:00"/>
    <s v="C063"/>
    <x v="3"/>
    <x v="1"/>
    <s v="Stapler"/>
    <n v="3"/>
    <n v="200"/>
    <n v="0.15"/>
    <n v="90"/>
    <n v="600"/>
    <n v="90"/>
    <n v="270"/>
    <n v="240"/>
    <n v="0.4"/>
    <x v="0"/>
    <x v="7"/>
  </r>
  <r>
    <s v="ORD0121"/>
    <d v="2025-03-23T00:00:00"/>
    <s v="C079"/>
    <x v="0"/>
    <x v="3"/>
    <s v="Desk"/>
    <n v="8"/>
    <n v="6000"/>
    <n v="0"/>
    <n v="4000"/>
    <n v="48000"/>
    <n v="0"/>
    <n v="32000"/>
    <n v="16000"/>
    <n v="0.33333333333333331"/>
    <x v="0"/>
    <x v="3"/>
  </r>
  <r>
    <s v="ORD0122"/>
    <d v="2025-12-30T00:00:00"/>
    <s v="C019"/>
    <x v="0"/>
    <x v="3"/>
    <s v="Cabinet"/>
    <n v="3"/>
    <n v="4000"/>
    <n v="0.1"/>
    <n v="2700"/>
    <n v="12000"/>
    <n v="1200"/>
    <n v="8100"/>
    <n v="2700"/>
    <n v="0.22500000000000001"/>
    <x v="0"/>
    <x v="4"/>
  </r>
  <r>
    <s v="ORD0123"/>
    <d v="2026-08-11T00:00:00"/>
    <s v="C055"/>
    <x v="3"/>
    <x v="0"/>
    <s v="Webcam"/>
    <n v="8"/>
    <n v="2000"/>
    <n v="0.15"/>
    <n v="1200"/>
    <n v="16000"/>
    <n v="2400"/>
    <n v="9600"/>
    <n v="4000"/>
    <n v="0.25"/>
    <x v="1"/>
    <x v="6"/>
  </r>
  <r>
    <s v="ORD0124"/>
    <d v="2025-04-01T00:00:00"/>
    <s v="C005"/>
    <x v="0"/>
    <x v="0"/>
    <s v="USB Hub"/>
    <n v="6"/>
    <n v="700"/>
    <n v="0.15"/>
    <n v="400"/>
    <n v="4200"/>
    <n v="630"/>
    <n v="2400"/>
    <n v="1170"/>
    <n v="0.27857142857142858"/>
    <x v="0"/>
    <x v="8"/>
  </r>
  <r>
    <s v="ORD0125"/>
    <d v="2025-09-15T00:00:00"/>
    <s v="C081"/>
    <x v="2"/>
    <x v="1"/>
    <s v="Pen Set"/>
    <n v="2"/>
    <n v="150"/>
    <n v="0.1"/>
    <n v="60"/>
    <n v="300"/>
    <n v="30"/>
    <n v="120"/>
    <n v="150"/>
    <n v="0.5"/>
    <x v="0"/>
    <x v="0"/>
  </r>
  <r>
    <s v="ORD0126"/>
    <d v="2025-04-23T00:00:00"/>
    <s v="C024"/>
    <x v="1"/>
    <x v="1"/>
    <s v="Stapler"/>
    <n v="1"/>
    <n v="200"/>
    <n v="0.15"/>
    <n v="90"/>
    <n v="200"/>
    <n v="30"/>
    <n v="90"/>
    <n v="80"/>
    <n v="0.4"/>
    <x v="0"/>
    <x v="8"/>
  </r>
  <r>
    <s v="ORD0127"/>
    <d v="2026-06-01T00:00:00"/>
    <s v="C076"/>
    <x v="1"/>
    <x v="2"/>
    <s v="Keyboard"/>
    <n v="4"/>
    <n v="1200"/>
    <n v="0.1"/>
    <n v="750"/>
    <n v="4800"/>
    <n v="480"/>
    <n v="3000"/>
    <n v="1320"/>
    <n v="0.27500000000000002"/>
    <x v="1"/>
    <x v="2"/>
  </r>
  <r>
    <s v="ORD0128"/>
    <d v="2025-07-08T00:00:00"/>
    <s v="C029"/>
    <x v="2"/>
    <x v="0"/>
    <s v="Mouse Pad"/>
    <n v="5"/>
    <n v="250"/>
    <n v="0.15"/>
    <n v="100"/>
    <n v="1250"/>
    <n v="187.5"/>
    <n v="500"/>
    <n v="562.5"/>
    <n v="0.45"/>
    <x v="0"/>
    <x v="5"/>
  </r>
  <r>
    <s v="ORD0129"/>
    <d v="2025-05-11T00:00:00"/>
    <s v="C085"/>
    <x v="1"/>
    <x v="3"/>
    <s v="Desk"/>
    <n v="1"/>
    <n v="6000"/>
    <n v="0.15"/>
    <n v="4000"/>
    <n v="6000"/>
    <n v="900"/>
    <n v="4000"/>
    <n v="1100"/>
    <n v="0.18333333333333332"/>
    <x v="0"/>
    <x v="11"/>
  </r>
  <r>
    <s v="ORD0130"/>
    <d v="2025-12-15T00:00:00"/>
    <s v="C066"/>
    <x v="0"/>
    <x v="1"/>
    <s v="Stapler"/>
    <n v="7"/>
    <n v="200"/>
    <n v="0"/>
    <n v="90"/>
    <n v="1400"/>
    <n v="0"/>
    <n v="630"/>
    <n v="770"/>
    <n v="0.55000000000000004"/>
    <x v="0"/>
    <x v="4"/>
  </r>
  <r>
    <s v="ORD0131"/>
    <d v="2026-05-05T00:00:00"/>
    <s v="C077"/>
    <x v="3"/>
    <x v="3"/>
    <s v="Bookshelf"/>
    <n v="7"/>
    <n v="3500"/>
    <n v="0"/>
    <n v="2200"/>
    <n v="24500"/>
    <n v="0"/>
    <n v="15400"/>
    <n v="9100"/>
    <n v="0.37142857142857144"/>
    <x v="1"/>
    <x v="11"/>
  </r>
  <r>
    <s v="ORD0132"/>
    <d v="2025-04-19T00:00:00"/>
    <s v="C100"/>
    <x v="0"/>
    <x v="2"/>
    <s v="Mouse"/>
    <n v="8"/>
    <n v="500"/>
    <n v="0.05"/>
    <n v="250"/>
    <n v="4000"/>
    <n v="200"/>
    <n v="2000"/>
    <n v="1800"/>
    <n v="0.45"/>
    <x v="0"/>
    <x v="8"/>
  </r>
  <r>
    <s v="ORD0133"/>
    <d v="2025-12-11T00:00:00"/>
    <s v="C087"/>
    <x v="2"/>
    <x v="3"/>
    <s v="Office Chair"/>
    <n v="4"/>
    <n v="4500"/>
    <n v="0.05"/>
    <n v="3000"/>
    <n v="18000"/>
    <n v="900"/>
    <n v="12000"/>
    <n v="5100"/>
    <n v="0.28333333333333333"/>
    <x v="0"/>
    <x v="4"/>
  </r>
  <r>
    <s v="ORD0134"/>
    <d v="2025-12-22T00:00:00"/>
    <s v="C023"/>
    <x v="0"/>
    <x v="3"/>
    <s v="Desk"/>
    <n v="5"/>
    <n v="6000"/>
    <n v="0"/>
    <n v="4000"/>
    <n v="30000"/>
    <n v="0"/>
    <n v="20000"/>
    <n v="10000"/>
    <n v="0.33333333333333331"/>
    <x v="0"/>
    <x v="4"/>
  </r>
  <r>
    <s v="ORD0135"/>
    <d v="2026-08-06T00:00:00"/>
    <s v="C085"/>
    <x v="0"/>
    <x v="1"/>
    <s v="Printer Paper"/>
    <n v="2"/>
    <n v="300"/>
    <n v="0"/>
    <n v="180"/>
    <n v="600"/>
    <n v="0"/>
    <n v="360"/>
    <n v="240"/>
    <n v="0.4"/>
    <x v="1"/>
    <x v="6"/>
  </r>
  <r>
    <s v="ORD0136"/>
    <d v="2026-12-15T00:00:00"/>
    <s v="C061"/>
    <x v="2"/>
    <x v="1"/>
    <s v="Pen Set"/>
    <n v="1"/>
    <n v="150"/>
    <n v="0.05"/>
    <n v="60"/>
    <n v="150"/>
    <n v="7.5"/>
    <n v="60"/>
    <n v="82.5"/>
    <n v="0.55000000000000004"/>
    <x v="1"/>
    <x v="4"/>
  </r>
  <r>
    <s v="ORD0137"/>
    <d v="2025-05-14T00:00:00"/>
    <s v="C051"/>
    <x v="2"/>
    <x v="1"/>
    <s v="Notebook"/>
    <n v="8"/>
    <n v="100"/>
    <n v="0.15"/>
    <n v="40"/>
    <n v="800"/>
    <n v="120"/>
    <n v="320"/>
    <n v="360"/>
    <n v="0.45"/>
    <x v="0"/>
    <x v="11"/>
  </r>
  <r>
    <s v="ORD0138"/>
    <d v="2026-08-06T00:00:00"/>
    <s v="C079"/>
    <x v="3"/>
    <x v="2"/>
    <s v="Headphones"/>
    <n v="2"/>
    <n v="1500"/>
    <n v="0"/>
    <n v="900"/>
    <n v="3000"/>
    <n v="0"/>
    <n v="1800"/>
    <n v="1200"/>
    <n v="0.4"/>
    <x v="1"/>
    <x v="6"/>
  </r>
  <r>
    <s v="ORD0139"/>
    <d v="2025-04-15T00:00:00"/>
    <s v="C088"/>
    <x v="1"/>
    <x v="0"/>
    <s v="Mouse Pad"/>
    <n v="3"/>
    <n v="250"/>
    <n v="0"/>
    <n v="100"/>
    <n v="750"/>
    <n v="0"/>
    <n v="300"/>
    <n v="450"/>
    <n v="0.6"/>
    <x v="0"/>
    <x v="8"/>
  </r>
  <r>
    <s v="ORD0140"/>
    <d v="2025-05-14T00:00:00"/>
    <s v="C049"/>
    <x v="2"/>
    <x v="0"/>
    <s v="Mouse Pad"/>
    <n v="4"/>
    <n v="250"/>
    <n v="0.1"/>
    <n v="100"/>
    <n v="1000"/>
    <n v="100"/>
    <n v="400"/>
    <n v="500"/>
    <n v="0.5"/>
    <x v="0"/>
    <x v="11"/>
  </r>
  <r>
    <s v="ORD0141"/>
    <d v="2026-11-30T00:00:00"/>
    <s v="C068"/>
    <x v="3"/>
    <x v="1"/>
    <s v="Stapler"/>
    <n v="2"/>
    <n v="200"/>
    <n v="0.15"/>
    <n v="90"/>
    <n v="400"/>
    <n v="60"/>
    <n v="180"/>
    <n v="160"/>
    <n v="0.4"/>
    <x v="1"/>
    <x v="10"/>
  </r>
  <r>
    <s v="ORD0142"/>
    <d v="2025-01-07T00:00:00"/>
    <s v="C018"/>
    <x v="3"/>
    <x v="2"/>
    <s v="Keyboard"/>
    <n v="4"/>
    <n v="1200"/>
    <n v="0.05"/>
    <n v="750"/>
    <n v="4800"/>
    <n v="240"/>
    <n v="3000"/>
    <n v="1560"/>
    <n v="0.32500000000000001"/>
    <x v="0"/>
    <x v="1"/>
  </r>
  <r>
    <s v="ORD0143"/>
    <d v="2025-06-28T00:00:00"/>
    <s v="C094"/>
    <x v="2"/>
    <x v="0"/>
    <s v="Laptop Stand"/>
    <n v="7"/>
    <n v="800"/>
    <n v="0.05"/>
    <n v="450"/>
    <n v="5600"/>
    <n v="280"/>
    <n v="3150"/>
    <n v="2170"/>
    <n v="0.38750000000000001"/>
    <x v="0"/>
    <x v="2"/>
  </r>
  <r>
    <s v="ORD0144"/>
    <d v="2026-01-13T00:00:00"/>
    <s v="C059"/>
    <x v="1"/>
    <x v="2"/>
    <s v="Keyboard"/>
    <n v="1"/>
    <n v="1200"/>
    <n v="0"/>
    <n v="750"/>
    <n v="1200"/>
    <n v="0"/>
    <n v="750"/>
    <n v="450"/>
    <n v="0.375"/>
    <x v="1"/>
    <x v="1"/>
  </r>
  <r>
    <s v="ORD0145"/>
    <d v="2025-02-14T00:00:00"/>
    <s v="C050"/>
    <x v="0"/>
    <x v="1"/>
    <s v="Pen Set"/>
    <n v="2"/>
    <n v="150"/>
    <n v="0.15"/>
    <n v="60"/>
    <n v="300"/>
    <n v="45"/>
    <n v="120"/>
    <n v="135"/>
    <n v="0.45"/>
    <x v="0"/>
    <x v="9"/>
  </r>
  <r>
    <s v="ORD0146"/>
    <d v="2025-02-14T00:00:00"/>
    <s v="C069"/>
    <x v="0"/>
    <x v="1"/>
    <s v="Pen Set"/>
    <n v="1"/>
    <n v="150"/>
    <n v="0"/>
    <n v="60"/>
    <n v="150"/>
    <n v="0"/>
    <n v="60"/>
    <n v="90"/>
    <n v="0.6"/>
    <x v="0"/>
    <x v="9"/>
  </r>
  <r>
    <s v="ORD0147"/>
    <d v="2025-04-27T00:00:00"/>
    <s v="C066"/>
    <x v="3"/>
    <x v="3"/>
    <s v="Cabinet"/>
    <n v="1"/>
    <n v="4000"/>
    <n v="0.1"/>
    <n v="2700"/>
    <n v="4000"/>
    <n v="400"/>
    <n v="2700"/>
    <n v="900"/>
    <n v="0.22500000000000001"/>
    <x v="0"/>
    <x v="8"/>
  </r>
  <r>
    <s v="ORD0148"/>
    <d v="2026-09-27T00:00:00"/>
    <s v="C026"/>
    <x v="3"/>
    <x v="3"/>
    <s v="Bookshelf"/>
    <n v="6"/>
    <n v="3500"/>
    <n v="0.1"/>
    <n v="2200"/>
    <n v="21000"/>
    <n v="2100"/>
    <n v="13200"/>
    <n v="5700"/>
    <n v="0.27142857142857141"/>
    <x v="1"/>
    <x v="0"/>
  </r>
  <r>
    <s v="ORD0149"/>
    <d v="2026-07-06T00:00:00"/>
    <s v="C021"/>
    <x v="3"/>
    <x v="0"/>
    <s v="USB Hub"/>
    <n v="7"/>
    <n v="700"/>
    <n v="0.15"/>
    <n v="400"/>
    <n v="4900"/>
    <n v="735"/>
    <n v="2800"/>
    <n v="1365"/>
    <n v="0.27857142857142858"/>
    <x v="1"/>
    <x v="5"/>
  </r>
  <r>
    <s v="ORD0150"/>
    <d v="2025-05-09T00:00:00"/>
    <s v="C004"/>
    <x v="2"/>
    <x v="0"/>
    <s v="Webcam"/>
    <n v="6"/>
    <n v="2000"/>
    <n v="0.05"/>
    <n v="1200"/>
    <n v="12000"/>
    <n v="600"/>
    <n v="7200"/>
    <n v="4200"/>
    <n v="0.35"/>
    <x v="0"/>
    <x v="11"/>
  </r>
  <r>
    <s v="ORD0151"/>
    <d v="2025-11-14T00:00:00"/>
    <s v="C097"/>
    <x v="3"/>
    <x v="2"/>
    <s v="Monitor"/>
    <n v="8"/>
    <n v="9000"/>
    <n v="0.05"/>
    <n v="6500"/>
    <n v="72000"/>
    <n v="3600"/>
    <n v="52000"/>
    <n v="16400"/>
    <n v="0.22777777777777777"/>
    <x v="0"/>
    <x v="10"/>
  </r>
  <r>
    <s v="ORD0152"/>
    <d v="2025-09-09T00:00:00"/>
    <s v="C052"/>
    <x v="1"/>
    <x v="3"/>
    <s v="Desk"/>
    <n v="4"/>
    <n v="6000"/>
    <n v="0.05"/>
    <n v="4000"/>
    <n v="24000"/>
    <n v="1200"/>
    <n v="16000"/>
    <n v="6800"/>
    <n v="0.28333333333333333"/>
    <x v="0"/>
    <x v="0"/>
  </r>
  <r>
    <s v="ORD0153"/>
    <d v="2025-02-14T00:00:00"/>
    <s v="C095"/>
    <x v="0"/>
    <x v="0"/>
    <s v="Laptop Stand"/>
    <n v="2"/>
    <n v="800"/>
    <n v="0.1"/>
    <n v="450"/>
    <n v="1600"/>
    <n v="160"/>
    <n v="900"/>
    <n v="540"/>
    <n v="0.33750000000000002"/>
    <x v="0"/>
    <x v="9"/>
  </r>
  <r>
    <s v="ORD0154"/>
    <d v="2026-04-22T00:00:00"/>
    <s v="C035"/>
    <x v="2"/>
    <x v="0"/>
    <s v="Laptop Stand"/>
    <n v="3"/>
    <n v="800"/>
    <n v="0"/>
    <n v="450"/>
    <n v="2400"/>
    <n v="0"/>
    <n v="1350"/>
    <n v="1050"/>
    <n v="0.4375"/>
    <x v="1"/>
    <x v="8"/>
  </r>
  <r>
    <s v="ORD0155"/>
    <d v="2025-04-01T00:00:00"/>
    <s v="C097"/>
    <x v="2"/>
    <x v="0"/>
    <s v="USB Hub"/>
    <n v="3"/>
    <n v="700"/>
    <n v="0.15"/>
    <n v="400"/>
    <n v="2100"/>
    <n v="315"/>
    <n v="1200"/>
    <n v="585"/>
    <n v="0.27857142857142858"/>
    <x v="0"/>
    <x v="8"/>
  </r>
  <r>
    <s v="ORD0156"/>
    <d v="2025-08-27T00:00:00"/>
    <s v="C041"/>
    <x v="1"/>
    <x v="3"/>
    <s v="Desk"/>
    <n v="3"/>
    <n v="6000"/>
    <n v="0.05"/>
    <n v="4000"/>
    <n v="18000"/>
    <n v="900"/>
    <n v="12000"/>
    <n v="5100"/>
    <n v="0.28333333333333333"/>
    <x v="0"/>
    <x v="6"/>
  </r>
  <r>
    <s v="ORD0157"/>
    <d v="2025-01-17T00:00:00"/>
    <s v="C015"/>
    <x v="1"/>
    <x v="3"/>
    <s v="Office Chair"/>
    <n v="1"/>
    <n v="4500"/>
    <n v="0.1"/>
    <n v="3000"/>
    <n v="4500"/>
    <n v="450"/>
    <n v="3000"/>
    <n v="1050"/>
    <n v="0.23333333333333334"/>
    <x v="0"/>
    <x v="1"/>
  </r>
  <r>
    <s v="ORD0158"/>
    <d v="2026-08-25T00:00:00"/>
    <s v="C008"/>
    <x v="0"/>
    <x v="0"/>
    <s v="Laptop Stand"/>
    <n v="6"/>
    <n v="800"/>
    <n v="0"/>
    <n v="450"/>
    <n v="4800"/>
    <n v="0"/>
    <n v="2700"/>
    <n v="2100"/>
    <n v="0.4375"/>
    <x v="1"/>
    <x v="6"/>
  </r>
  <r>
    <s v="ORD0159"/>
    <d v="2025-02-15T00:00:00"/>
    <s v="C068"/>
    <x v="1"/>
    <x v="3"/>
    <s v="Bookshelf"/>
    <n v="2"/>
    <n v="3500"/>
    <n v="0.15"/>
    <n v="2200"/>
    <n v="7000"/>
    <n v="1050"/>
    <n v="4400"/>
    <n v="1550"/>
    <n v="0.22142857142857142"/>
    <x v="0"/>
    <x v="9"/>
  </r>
  <r>
    <s v="ORD0160"/>
    <d v="2025-06-08T00:00:00"/>
    <s v="C012"/>
    <x v="3"/>
    <x v="0"/>
    <s v="Webcam"/>
    <n v="2"/>
    <n v="2000"/>
    <n v="0.05"/>
    <n v="1200"/>
    <n v="4000"/>
    <n v="200"/>
    <n v="2400"/>
    <n v="1400"/>
    <n v="0.35"/>
    <x v="0"/>
    <x v="2"/>
  </r>
  <r>
    <s v="ORD0161"/>
    <d v="2026-09-18T00:00:00"/>
    <s v="C081"/>
    <x v="3"/>
    <x v="1"/>
    <s v="Stapler"/>
    <n v="7"/>
    <n v="200"/>
    <n v="0"/>
    <n v="90"/>
    <n v="1400"/>
    <n v="0"/>
    <n v="630"/>
    <n v="770"/>
    <n v="0.55000000000000004"/>
    <x v="1"/>
    <x v="0"/>
  </r>
  <r>
    <s v="ORD0162"/>
    <d v="2026-05-20T00:00:00"/>
    <s v="C095"/>
    <x v="0"/>
    <x v="2"/>
    <s v="Headphones"/>
    <n v="1"/>
    <n v="1500"/>
    <n v="0"/>
    <n v="900"/>
    <n v="1500"/>
    <n v="0"/>
    <n v="900"/>
    <n v="600"/>
    <n v="0.4"/>
    <x v="1"/>
    <x v="11"/>
  </r>
  <r>
    <s v="ORD0163"/>
    <d v="2026-04-30T00:00:00"/>
    <s v="C061"/>
    <x v="3"/>
    <x v="0"/>
    <s v="Laptop Stand"/>
    <n v="8"/>
    <n v="800"/>
    <n v="0.05"/>
    <n v="450"/>
    <n v="6400"/>
    <n v="320"/>
    <n v="3600"/>
    <n v="2480"/>
    <n v="0.38750000000000001"/>
    <x v="1"/>
    <x v="8"/>
  </r>
  <r>
    <s v="ORD0164"/>
    <d v="2026-01-28T00:00:00"/>
    <s v="C003"/>
    <x v="0"/>
    <x v="0"/>
    <s v="Mouse Pad"/>
    <n v="2"/>
    <n v="250"/>
    <n v="0.05"/>
    <n v="100"/>
    <n v="500"/>
    <n v="25"/>
    <n v="200"/>
    <n v="275"/>
    <n v="0.55000000000000004"/>
    <x v="1"/>
    <x v="1"/>
  </r>
  <r>
    <s v="ORD0165"/>
    <d v="2025-07-01T00:00:00"/>
    <s v="C010"/>
    <x v="2"/>
    <x v="2"/>
    <s v="Headphones"/>
    <n v="2"/>
    <n v="1500"/>
    <n v="0"/>
    <n v="900"/>
    <n v="3000"/>
    <n v="0"/>
    <n v="1800"/>
    <n v="1200"/>
    <n v="0.4"/>
    <x v="0"/>
    <x v="5"/>
  </r>
  <r>
    <s v="ORD0166"/>
    <d v="2025-01-28T00:00:00"/>
    <s v="C042"/>
    <x v="3"/>
    <x v="2"/>
    <s v="Headphones"/>
    <n v="1"/>
    <n v="1500"/>
    <n v="0"/>
    <n v="900"/>
    <n v="1500"/>
    <n v="0"/>
    <n v="900"/>
    <n v="600"/>
    <n v="0.4"/>
    <x v="0"/>
    <x v="1"/>
  </r>
  <r>
    <s v="ORD0167"/>
    <d v="2025-10-12T00:00:00"/>
    <s v="C025"/>
    <x v="3"/>
    <x v="3"/>
    <s v="Desk"/>
    <n v="1"/>
    <n v="6000"/>
    <n v="0"/>
    <n v="4000"/>
    <n v="6000"/>
    <n v="0"/>
    <n v="4000"/>
    <n v="2000"/>
    <n v="0.33333333333333331"/>
    <x v="0"/>
    <x v="7"/>
  </r>
  <r>
    <s v="ORD0168"/>
    <d v="2025-10-24T00:00:00"/>
    <s v="C054"/>
    <x v="3"/>
    <x v="3"/>
    <s v="Office Chair"/>
    <n v="4"/>
    <n v="4500"/>
    <n v="0.05"/>
    <n v="3000"/>
    <n v="18000"/>
    <n v="900"/>
    <n v="12000"/>
    <n v="5100"/>
    <n v="0.28333333333333333"/>
    <x v="0"/>
    <x v="7"/>
  </r>
  <r>
    <s v="ORD0169"/>
    <d v="2025-10-12T00:00:00"/>
    <s v="C007"/>
    <x v="2"/>
    <x v="1"/>
    <s v="Stapler"/>
    <n v="1"/>
    <n v="200"/>
    <n v="0.05"/>
    <n v="90"/>
    <n v="200"/>
    <n v="10"/>
    <n v="90"/>
    <n v="100"/>
    <n v="0.5"/>
    <x v="0"/>
    <x v="7"/>
  </r>
  <r>
    <s v="ORD0170"/>
    <d v="2026-08-22T00:00:00"/>
    <s v="C011"/>
    <x v="2"/>
    <x v="2"/>
    <s v="Mouse"/>
    <n v="6"/>
    <n v="500"/>
    <n v="0"/>
    <n v="250"/>
    <n v="3000"/>
    <n v="0"/>
    <n v="1500"/>
    <n v="1500"/>
    <n v="0.5"/>
    <x v="1"/>
    <x v="6"/>
  </r>
  <r>
    <s v="ORD0171"/>
    <d v="2026-08-18T00:00:00"/>
    <s v="C079"/>
    <x v="0"/>
    <x v="1"/>
    <s v="Printer Paper"/>
    <n v="3"/>
    <n v="300"/>
    <n v="0.1"/>
    <n v="180"/>
    <n v="900"/>
    <n v="90"/>
    <n v="540"/>
    <n v="270"/>
    <n v="0.3"/>
    <x v="1"/>
    <x v="6"/>
  </r>
  <r>
    <s v="ORD0172"/>
    <d v="2025-01-18T00:00:00"/>
    <s v="C058"/>
    <x v="3"/>
    <x v="1"/>
    <s v="Printer Paper"/>
    <n v="3"/>
    <n v="300"/>
    <n v="0.1"/>
    <n v="180"/>
    <n v="900"/>
    <n v="90"/>
    <n v="540"/>
    <n v="270"/>
    <n v="0.3"/>
    <x v="0"/>
    <x v="1"/>
  </r>
  <r>
    <s v="ORD0173"/>
    <d v="2026-07-05T00:00:00"/>
    <s v="C081"/>
    <x v="2"/>
    <x v="1"/>
    <s v="Printer Paper"/>
    <n v="8"/>
    <n v="300"/>
    <n v="0.15"/>
    <n v="180"/>
    <n v="2400"/>
    <n v="360"/>
    <n v="1440"/>
    <n v="600"/>
    <n v="0.25"/>
    <x v="1"/>
    <x v="5"/>
  </r>
  <r>
    <s v="ORD0174"/>
    <d v="2026-10-19T00:00:00"/>
    <s v="C003"/>
    <x v="3"/>
    <x v="0"/>
    <s v="Mouse Pad"/>
    <n v="7"/>
    <n v="250"/>
    <n v="0.15"/>
    <n v="100"/>
    <n v="1750"/>
    <n v="262.5"/>
    <n v="700"/>
    <n v="787.5"/>
    <n v="0.45"/>
    <x v="1"/>
    <x v="7"/>
  </r>
  <r>
    <s v="ORD0175"/>
    <d v="2025-09-17T00:00:00"/>
    <s v="C017"/>
    <x v="0"/>
    <x v="1"/>
    <s v="Pen Set"/>
    <n v="1"/>
    <n v="150"/>
    <n v="0"/>
    <n v="60"/>
    <n v="150"/>
    <n v="0"/>
    <n v="60"/>
    <n v="90"/>
    <n v="0.6"/>
    <x v="0"/>
    <x v="0"/>
  </r>
  <r>
    <s v="ORD0176"/>
    <d v="2026-09-25T00:00:00"/>
    <s v="C071"/>
    <x v="1"/>
    <x v="0"/>
    <s v="Mouse Pad"/>
    <n v="3"/>
    <n v="250"/>
    <n v="0.15"/>
    <n v="100"/>
    <n v="750"/>
    <n v="112.5"/>
    <n v="300"/>
    <n v="337.5"/>
    <n v="0.45"/>
    <x v="1"/>
    <x v="0"/>
  </r>
  <r>
    <s v="ORD0177"/>
    <d v="2026-01-24T00:00:00"/>
    <s v="C011"/>
    <x v="1"/>
    <x v="3"/>
    <s v="Cabinet"/>
    <n v="8"/>
    <n v="4000"/>
    <n v="0.1"/>
    <n v="2700"/>
    <n v="32000"/>
    <n v="3200"/>
    <n v="21600"/>
    <n v="7200"/>
    <n v="0.22500000000000001"/>
    <x v="1"/>
    <x v="1"/>
  </r>
  <r>
    <s v="ORD0178"/>
    <d v="2026-11-12T00:00:00"/>
    <s v="C094"/>
    <x v="0"/>
    <x v="3"/>
    <s v="Desk"/>
    <n v="2"/>
    <n v="6000"/>
    <n v="0.15"/>
    <n v="4000"/>
    <n v="12000"/>
    <n v="1800"/>
    <n v="8000"/>
    <n v="2200"/>
    <n v="0.18333333333333332"/>
    <x v="1"/>
    <x v="10"/>
  </r>
  <r>
    <s v="ORD0179"/>
    <d v="2025-01-19T00:00:00"/>
    <s v="C061"/>
    <x v="1"/>
    <x v="0"/>
    <s v="Mouse Pad"/>
    <n v="5"/>
    <n v="250"/>
    <n v="0.15"/>
    <n v="100"/>
    <n v="1250"/>
    <n v="187.5"/>
    <n v="500"/>
    <n v="562.5"/>
    <n v="0.45"/>
    <x v="0"/>
    <x v="1"/>
  </r>
  <r>
    <s v="ORD0180"/>
    <d v="2026-05-10T00:00:00"/>
    <s v="C070"/>
    <x v="1"/>
    <x v="2"/>
    <s v="Keyboard"/>
    <n v="1"/>
    <n v="1200"/>
    <n v="0.15"/>
    <n v="750"/>
    <n v="1200"/>
    <n v="180"/>
    <n v="750"/>
    <n v="270"/>
    <n v="0.22500000000000001"/>
    <x v="1"/>
    <x v="11"/>
  </r>
  <r>
    <s v="ORD0181"/>
    <d v="2026-09-01T00:00:00"/>
    <s v="C060"/>
    <x v="0"/>
    <x v="1"/>
    <s v="Pen Set"/>
    <n v="6"/>
    <n v="150"/>
    <n v="0.05"/>
    <n v="60"/>
    <n v="900"/>
    <n v="45"/>
    <n v="360"/>
    <n v="495"/>
    <n v="0.55000000000000004"/>
    <x v="1"/>
    <x v="0"/>
  </r>
  <r>
    <s v="ORD0182"/>
    <d v="2026-06-10T00:00:00"/>
    <s v="C014"/>
    <x v="1"/>
    <x v="1"/>
    <s v="Stapler"/>
    <n v="2"/>
    <n v="200"/>
    <n v="0"/>
    <n v="90"/>
    <n v="400"/>
    <n v="0"/>
    <n v="180"/>
    <n v="220"/>
    <n v="0.55000000000000004"/>
    <x v="1"/>
    <x v="2"/>
  </r>
  <r>
    <s v="ORD0183"/>
    <d v="2025-05-08T00:00:00"/>
    <s v="C086"/>
    <x v="0"/>
    <x v="2"/>
    <s v="Headphones"/>
    <n v="6"/>
    <n v="1500"/>
    <n v="0"/>
    <n v="900"/>
    <n v="9000"/>
    <n v="0"/>
    <n v="5400"/>
    <n v="3600"/>
    <n v="0.4"/>
    <x v="0"/>
    <x v="11"/>
  </r>
  <r>
    <s v="ORD0184"/>
    <d v="2026-08-27T00:00:00"/>
    <s v="C061"/>
    <x v="1"/>
    <x v="1"/>
    <s v="Pen Set"/>
    <n v="6"/>
    <n v="150"/>
    <n v="0.15"/>
    <n v="60"/>
    <n v="900"/>
    <n v="135"/>
    <n v="360"/>
    <n v="405"/>
    <n v="0.45"/>
    <x v="1"/>
    <x v="6"/>
  </r>
  <r>
    <s v="ORD0185"/>
    <d v="2026-11-18T00:00:00"/>
    <s v="C022"/>
    <x v="2"/>
    <x v="3"/>
    <s v="Bookshelf"/>
    <n v="7"/>
    <n v="3500"/>
    <n v="0.15"/>
    <n v="2200"/>
    <n v="24500"/>
    <n v="3675"/>
    <n v="15400"/>
    <n v="5425"/>
    <n v="0.22142857142857142"/>
    <x v="1"/>
    <x v="10"/>
  </r>
  <r>
    <s v="ORD0186"/>
    <d v="2025-08-16T00:00:00"/>
    <s v="C080"/>
    <x v="1"/>
    <x v="3"/>
    <s v="Bookshelf"/>
    <n v="2"/>
    <n v="3500"/>
    <n v="0"/>
    <n v="2200"/>
    <n v="7000"/>
    <n v="0"/>
    <n v="4400"/>
    <n v="2600"/>
    <n v="0.37142857142857144"/>
    <x v="0"/>
    <x v="6"/>
  </r>
  <r>
    <s v="ORD0187"/>
    <d v="2025-08-15T00:00:00"/>
    <s v="C014"/>
    <x v="3"/>
    <x v="3"/>
    <s v="Bookshelf"/>
    <n v="5"/>
    <n v="3500"/>
    <n v="0.05"/>
    <n v="2200"/>
    <n v="17500"/>
    <n v="875"/>
    <n v="11000"/>
    <n v="5625"/>
    <n v="0.32142857142857145"/>
    <x v="0"/>
    <x v="6"/>
  </r>
  <r>
    <s v="ORD0188"/>
    <d v="2025-08-04T00:00:00"/>
    <s v="C093"/>
    <x v="0"/>
    <x v="3"/>
    <s v="Bookshelf"/>
    <n v="1"/>
    <n v="3500"/>
    <n v="0.1"/>
    <n v="2200"/>
    <n v="3500"/>
    <n v="350"/>
    <n v="2200"/>
    <n v="950"/>
    <n v="0.27142857142857141"/>
    <x v="0"/>
    <x v="6"/>
  </r>
  <r>
    <s v="ORD0189"/>
    <d v="2025-04-03T00:00:00"/>
    <s v="C010"/>
    <x v="0"/>
    <x v="2"/>
    <s v="Monitor"/>
    <n v="3"/>
    <n v="9000"/>
    <n v="0.1"/>
    <n v="6500"/>
    <n v="27000"/>
    <n v="2700"/>
    <n v="19500"/>
    <n v="4800"/>
    <n v="0.17777777777777778"/>
    <x v="0"/>
    <x v="8"/>
  </r>
  <r>
    <s v="ORD0190"/>
    <d v="2025-11-19T00:00:00"/>
    <s v="C032"/>
    <x v="0"/>
    <x v="0"/>
    <s v="Webcam"/>
    <n v="2"/>
    <n v="2000"/>
    <n v="0.05"/>
    <n v="1200"/>
    <n v="4000"/>
    <n v="200"/>
    <n v="2400"/>
    <n v="1400"/>
    <n v="0.35"/>
    <x v="0"/>
    <x v="10"/>
  </r>
  <r>
    <s v="ORD0191"/>
    <d v="2025-07-30T00:00:00"/>
    <s v="C052"/>
    <x v="1"/>
    <x v="3"/>
    <s v="Bookshelf"/>
    <n v="3"/>
    <n v="3500"/>
    <n v="0.05"/>
    <n v="2200"/>
    <n v="10500"/>
    <n v="525"/>
    <n v="6600"/>
    <n v="3375"/>
    <n v="0.32142857142857145"/>
    <x v="0"/>
    <x v="5"/>
  </r>
  <r>
    <s v="ORD0192"/>
    <d v="2025-01-28T00:00:00"/>
    <s v="C039"/>
    <x v="0"/>
    <x v="3"/>
    <s v="Desk"/>
    <n v="5"/>
    <n v="6000"/>
    <n v="0.15"/>
    <n v="4000"/>
    <n v="30000"/>
    <n v="4500"/>
    <n v="20000"/>
    <n v="5500"/>
    <n v="0.18333333333333332"/>
    <x v="0"/>
    <x v="1"/>
  </r>
  <r>
    <s v="ORD0193"/>
    <d v="2026-02-26T00:00:00"/>
    <s v="C064"/>
    <x v="0"/>
    <x v="2"/>
    <s v="Mouse"/>
    <n v="5"/>
    <n v="500"/>
    <n v="0.15"/>
    <n v="250"/>
    <n v="2500"/>
    <n v="375"/>
    <n v="1250"/>
    <n v="875"/>
    <n v="0.35"/>
    <x v="1"/>
    <x v="9"/>
  </r>
  <r>
    <s v="ORD0194"/>
    <d v="2025-03-08T00:00:00"/>
    <s v="C011"/>
    <x v="2"/>
    <x v="1"/>
    <s v="Printer Paper"/>
    <n v="1"/>
    <n v="300"/>
    <n v="0"/>
    <n v="180"/>
    <n v="300"/>
    <n v="0"/>
    <n v="180"/>
    <n v="120"/>
    <n v="0.4"/>
    <x v="0"/>
    <x v="3"/>
  </r>
  <r>
    <s v="ORD0195"/>
    <d v="2026-09-26T00:00:00"/>
    <s v="C015"/>
    <x v="1"/>
    <x v="3"/>
    <s v="Cabinet"/>
    <n v="8"/>
    <n v="4000"/>
    <n v="0"/>
    <n v="2700"/>
    <n v="32000"/>
    <n v="0"/>
    <n v="21600"/>
    <n v="10400"/>
    <n v="0.32500000000000001"/>
    <x v="1"/>
    <x v="0"/>
  </r>
  <r>
    <s v="ORD0196"/>
    <d v="2025-07-05T00:00:00"/>
    <s v="C073"/>
    <x v="0"/>
    <x v="1"/>
    <s v="Printer Paper"/>
    <n v="8"/>
    <n v="300"/>
    <n v="0.1"/>
    <n v="180"/>
    <n v="2400"/>
    <n v="240"/>
    <n v="1440"/>
    <n v="720"/>
    <n v="0.3"/>
    <x v="0"/>
    <x v="5"/>
  </r>
  <r>
    <s v="ORD0197"/>
    <d v="2026-07-06T00:00:00"/>
    <s v="C094"/>
    <x v="0"/>
    <x v="3"/>
    <s v="Office Chair"/>
    <n v="3"/>
    <n v="4500"/>
    <n v="0"/>
    <n v="3000"/>
    <n v="13500"/>
    <n v="0"/>
    <n v="9000"/>
    <n v="4500"/>
    <n v="0.33333333333333331"/>
    <x v="1"/>
    <x v="5"/>
  </r>
  <r>
    <s v="ORD0198"/>
    <d v="2025-01-10T00:00:00"/>
    <s v="C003"/>
    <x v="2"/>
    <x v="3"/>
    <s v="Bookshelf"/>
    <n v="5"/>
    <n v="3500"/>
    <n v="0.05"/>
    <n v="2200"/>
    <n v="17500"/>
    <n v="875"/>
    <n v="11000"/>
    <n v="5625"/>
    <n v="0.32142857142857145"/>
    <x v="0"/>
    <x v="1"/>
  </r>
  <r>
    <s v="ORD0199"/>
    <d v="2026-04-18T00:00:00"/>
    <s v="C079"/>
    <x v="0"/>
    <x v="2"/>
    <s v="Keyboard"/>
    <n v="5"/>
    <n v="1200"/>
    <n v="0"/>
    <n v="750"/>
    <n v="6000"/>
    <n v="0"/>
    <n v="3750"/>
    <n v="2250"/>
    <n v="0.375"/>
    <x v="1"/>
    <x v="8"/>
  </r>
  <r>
    <s v="ORD0200"/>
    <d v="2025-04-27T00:00:00"/>
    <s v="C010"/>
    <x v="0"/>
    <x v="0"/>
    <s v="USB Hub"/>
    <n v="7"/>
    <n v="700"/>
    <n v="0.15"/>
    <n v="400"/>
    <n v="4900"/>
    <n v="735"/>
    <n v="2800"/>
    <n v="1365"/>
    <n v="0.27857142857142858"/>
    <x v="0"/>
    <x v="8"/>
  </r>
  <r>
    <s v="ORD0201"/>
    <d v="2026-06-20T00:00:00"/>
    <s v="C009"/>
    <x v="1"/>
    <x v="3"/>
    <s v="Desk"/>
    <n v="2"/>
    <n v="6000"/>
    <n v="0"/>
    <n v="4000"/>
    <n v="12000"/>
    <n v="0"/>
    <n v="8000"/>
    <n v="4000"/>
    <n v="0.33333333333333331"/>
    <x v="1"/>
    <x v="2"/>
  </r>
  <r>
    <s v="ORD0202"/>
    <d v="2025-03-03T00:00:00"/>
    <s v="C020"/>
    <x v="1"/>
    <x v="0"/>
    <s v="Laptop Stand"/>
    <n v="6"/>
    <n v="800"/>
    <n v="0.1"/>
    <n v="450"/>
    <n v="4800"/>
    <n v="480"/>
    <n v="2700"/>
    <n v="1620"/>
    <n v="0.33750000000000002"/>
    <x v="0"/>
    <x v="3"/>
  </r>
  <r>
    <s v="ORD0203"/>
    <d v="2025-12-20T00:00:00"/>
    <s v="C062"/>
    <x v="0"/>
    <x v="0"/>
    <s v="USB Hub"/>
    <n v="5"/>
    <n v="700"/>
    <n v="0.1"/>
    <n v="400"/>
    <n v="3500"/>
    <n v="350"/>
    <n v="2000"/>
    <n v="1150"/>
    <n v="0.32857142857142857"/>
    <x v="0"/>
    <x v="4"/>
  </r>
  <r>
    <s v="ORD0204"/>
    <d v="2026-03-28T00:00:00"/>
    <s v="C025"/>
    <x v="3"/>
    <x v="1"/>
    <s v="Printer Paper"/>
    <n v="4"/>
    <n v="300"/>
    <n v="0"/>
    <n v="180"/>
    <n v="1200"/>
    <n v="0"/>
    <n v="720"/>
    <n v="480"/>
    <n v="0.4"/>
    <x v="1"/>
    <x v="3"/>
  </r>
  <r>
    <s v="ORD0205"/>
    <d v="2025-03-30T00:00:00"/>
    <s v="C015"/>
    <x v="3"/>
    <x v="1"/>
    <s v="Stapler"/>
    <n v="6"/>
    <n v="200"/>
    <n v="0.05"/>
    <n v="90"/>
    <n v="1200"/>
    <n v="60"/>
    <n v="540"/>
    <n v="600"/>
    <n v="0.5"/>
    <x v="0"/>
    <x v="3"/>
  </r>
  <r>
    <s v="ORD0206"/>
    <d v="2026-05-15T00:00:00"/>
    <s v="C054"/>
    <x v="3"/>
    <x v="0"/>
    <s v="Webcam"/>
    <n v="3"/>
    <n v="2000"/>
    <n v="0"/>
    <n v="1200"/>
    <n v="6000"/>
    <n v="0"/>
    <n v="3600"/>
    <n v="2400"/>
    <n v="0.4"/>
    <x v="1"/>
    <x v="11"/>
  </r>
  <r>
    <s v="ORD0207"/>
    <d v="2026-08-21T00:00:00"/>
    <s v="C017"/>
    <x v="1"/>
    <x v="2"/>
    <s v="Monitor"/>
    <n v="8"/>
    <n v="9000"/>
    <n v="0.05"/>
    <n v="6500"/>
    <n v="72000"/>
    <n v="3600"/>
    <n v="52000"/>
    <n v="16400"/>
    <n v="0.22777777777777777"/>
    <x v="1"/>
    <x v="6"/>
  </r>
  <r>
    <s v="ORD0208"/>
    <d v="2025-07-17T00:00:00"/>
    <s v="C060"/>
    <x v="2"/>
    <x v="1"/>
    <s v="Stapler"/>
    <n v="8"/>
    <n v="200"/>
    <n v="0.1"/>
    <n v="90"/>
    <n v="1600"/>
    <n v="160"/>
    <n v="720"/>
    <n v="720"/>
    <n v="0.45"/>
    <x v="0"/>
    <x v="5"/>
  </r>
  <r>
    <s v="ORD0209"/>
    <d v="2025-11-28T00:00:00"/>
    <s v="C077"/>
    <x v="2"/>
    <x v="1"/>
    <s v="Pen Set"/>
    <n v="2"/>
    <n v="150"/>
    <n v="0"/>
    <n v="60"/>
    <n v="300"/>
    <n v="0"/>
    <n v="120"/>
    <n v="180"/>
    <n v="0.6"/>
    <x v="0"/>
    <x v="10"/>
  </r>
  <r>
    <s v="ORD0210"/>
    <d v="2025-08-09T00:00:00"/>
    <s v="C046"/>
    <x v="1"/>
    <x v="0"/>
    <s v="USB Hub"/>
    <n v="7"/>
    <n v="700"/>
    <n v="0.1"/>
    <n v="400"/>
    <n v="4900"/>
    <n v="490"/>
    <n v="2800"/>
    <n v="1610"/>
    <n v="0.32857142857142857"/>
    <x v="0"/>
    <x v="6"/>
  </r>
  <r>
    <s v="ORD0211"/>
    <d v="2026-02-05T00:00:00"/>
    <s v="C035"/>
    <x v="3"/>
    <x v="3"/>
    <s v="Bookshelf"/>
    <n v="7"/>
    <n v="3500"/>
    <n v="0.1"/>
    <n v="2200"/>
    <n v="24500"/>
    <n v="2450"/>
    <n v="15400"/>
    <n v="6650"/>
    <n v="0.27142857142857141"/>
    <x v="1"/>
    <x v="9"/>
  </r>
  <r>
    <s v="ORD0212"/>
    <d v="2026-09-08T00:00:00"/>
    <s v="C009"/>
    <x v="3"/>
    <x v="1"/>
    <s v="Notebook"/>
    <n v="6"/>
    <n v="100"/>
    <n v="0.05"/>
    <n v="40"/>
    <n v="600"/>
    <n v="30"/>
    <n v="240"/>
    <n v="330"/>
    <n v="0.55000000000000004"/>
    <x v="1"/>
    <x v="0"/>
  </r>
  <r>
    <s v="ORD0213"/>
    <d v="2025-09-23T00:00:00"/>
    <s v="C009"/>
    <x v="3"/>
    <x v="3"/>
    <s v="Office Chair"/>
    <n v="6"/>
    <n v="4500"/>
    <n v="0.15"/>
    <n v="3000"/>
    <n v="27000"/>
    <n v="4050"/>
    <n v="18000"/>
    <n v="4950"/>
    <n v="0.18333333333333332"/>
    <x v="0"/>
    <x v="0"/>
  </r>
  <r>
    <s v="ORD0214"/>
    <d v="2026-06-30T00:00:00"/>
    <s v="C035"/>
    <x v="3"/>
    <x v="0"/>
    <s v="Mouse Pad"/>
    <n v="6"/>
    <n v="250"/>
    <n v="0"/>
    <n v="100"/>
    <n v="1500"/>
    <n v="0"/>
    <n v="600"/>
    <n v="900"/>
    <n v="0.6"/>
    <x v="1"/>
    <x v="2"/>
  </r>
  <r>
    <s v="ORD0215"/>
    <d v="2026-04-06T00:00:00"/>
    <s v="C077"/>
    <x v="0"/>
    <x v="1"/>
    <s v="Notebook"/>
    <n v="4"/>
    <n v="100"/>
    <n v="0.1"/>
    <n v="40"/>
    <n v="400"/>
    <n v="40"/>
    <n v="160"/>
    <n v="200"/>
    <n v="0.5"/>
    <x v="1"/>
    <x v="8"/>
  </r>
  <r>
    <s v="ORD0216"/>
    <d v="2026-06-08T00:00:00"/>
    <s v="C043"/>
    <x v="2"/>
    <x v="2"/>
    <s v="Mouse"/>
    <n v="8"/>
    <n v="500"/>
    <n v="0"/>
    <n v="250"/>
    <n v="4000"/>
    <n v="0"/>
    <n v="2000"/>
    <n v="2000"/>
    <n v="0.5"/>
    <x v="1"/>
    <x v="2"/>
  </r>
  <r>
    <s v="ORD0217"/>
    <d v="2026-09-04T00:00:00"/>
    <s v="C094"/>
    <x v="0"/>
    <x v="0"/>
    <s v="Mouse Pad"/>
    <n v="3"/>
    <n v="250"/>
    <n v="0.15"/>
    <n v="100"/>
    <n v="750"/>
    <n v="112.5"/>
    <n v="300"/>
    <n v="337.5"/>
    <n v="0.45"/>
    <x v="1"/>
    <x v="0"/>
  </r>
  <r>
    <s v="ORD0218"/>
    <d v="2025-08-06T00:00:00"/>
    <s v="C086"/>
    <x v="2"/>
    <x v="3"/>
    <s v="Cabinet"/>
    <n v="8"/>
    <n v="4000"/>
    <n v="0.1"/>
    <n v="2700"/>
    <n v="32000"/>
    <n v="3200"/>
    <n v="21600"/>
    <n v="7200"/>
    <n v="0.22500000000000001"/>
    <x v="0"/>
    <x v="6"/>
  </r>
  <r>
    <s v="ORD0219"/>
    <d v="2026-03-24T00:00:00"/>
    <s v="C073"/>
    <x v="3"/>
    <x v="3"/>
    <s v="Office Chair"/>
    <n v="3"/>
    <n v="4500"/>
    <n v="0.1"/>
    <n v="3000"/>
    <n v="13500"/>
    <n v="1350"/>
    <n v="9000"/>
    <n v="3150"/>
    <n v="0.23333333333333334"/>
    <x v="1"/>
    <x v="3"/>
  </r>
  <r>
    <s v="ORD0220"/>
    <d v="2025-10-02T00:00:00"/>
    <s v="C028"/>
    <x v="0"/>
    <x v="2"/>
    <s v="Keyboard"/>
    <n v="4"/>
    <n v="1200"/>
    <n v="0.05"/>
    <n v="750"/>
    <n v="4800"/>
    <n v="240"/>
    <n v="3000"/>
    <n v="1560"/>
    <n v="0.32500000000000001"/>
    <x v="0"/>
    <x v="7"/>
  </r>
  <r>
    <s v="ORD0221"/>
    <d v="2026-04-29T00:00:00"/>
    <s v="C039"/>
    <x v="1"/>
    <x v="2"/>
    <s v="Monitor"/>
    <n v="3"/>
    <n v="9000"/>
    <n v="0.1"/>
    <n v="6500"/>
    <n v="27000"/>
    <n v="2700"/>
    <n v="19500"/>
    <n v="4800"/>
    <n v="0.17777777777777778"/>
    <x v="1"/>
    <x v="8"/>
  </r>
  <r>
    <s v="ORD0222"/>
    <d v="2026-07-18T00:00:00"/>
    <s v="C001"/>
    <x v="0"/>
    <x v="2"/>
    <s v="Headphones"/>
    <n v="4"/>
    <n v="1500"/>
    <n v="0.05"/>
    <n v="900"/>
    <n v="6000"/>
    <n v="300"/>
    <n v="3600"/>
    <n v="2100"/>
    <n v="0.35"/>
    <x v="1"/>
    <x v="5"/>
  </r>
  <r>
    <s v="ORD0223"/>
    <d v="2025-05-13T00:00:00"/>
    <s v="C067"/>
    <x v="0"/>
    <x v="2"/>
    <s v="Mouse"/>
    <n v="1"/>
    <n v="500"/>
    <n v="0"/>
    <n v="250"/>
    <n v="500"/>
    <n v="0"/>
    <n v="250"/>
    <n v="250"/>
    <n v="0.5"/>
    <x v="0"/>
    <x v="11"/>
  </r>
  <r>
    <s v="ORD0224"/>
    <d v="2025-12-12T00:00:00"/>
    <s v="C053"/>
    <x v="2"/>
    <x v="0"/>
    <s v="USB Hub"/>
    <n v="7"/>
    <n v="700"/>
    <n v="0.15"/>
    <n v="400"/>
    <n v="4900"/>
    <n v="735"/>
    <n v="2800"/>
    <n v="1365"/>
    <n v="0.27857142857142858"/>
    <x v="0"/>
    <x v="4"/>
  </r>
  <r>
    <s v="ORD0225"/>
    <d v="2025-05-18T00:00:00"/>
    <s v="C031"/>
    <x v="1"/>
    <x v="1"/>
    <s v="Pen Set"/>
    <n v="4"/>
    <n v="150"/>
    <n v="0.1"/>
    <n v="60"/>
    <n v="600"/>
    <n v="60"/>
    <n v="240"/>
    <n v="300"/>
    <n v="0.5"/>
    <x v="0"/>
    <x v="11"/>
  </r>
  <r>
    <s v="ORD0226"/>
    <d v="2025-10-11T00:00:00"/>
    <s v="C021"/>
    <x v="0"/>
    <x v="3"/>
    <s v="Cabinet"/>
    <n v="2"/>
    <n v="4000"/>
    <n v="0.15"/>
    <n v="2700"/>
    <n v="8000"/>
    <n v="1200"/>
    <n v="5400"/>
    <n v="1400"/>
    <n v="0.17499999999999999"/>
    <x v="0"/>
    <x v="7"/>
  </r>
  <r>
    <s v="ORD0227"/>
    <d v="2025-06-04T00:00:00"/>
    <s v="C038"/>
    <x v="1"/>
    <x v="1"/>
    <s v="Stapler"/>
    <n v="1"/>
    <n v="200"/>
    <n v="0.05"/>
    <n v="90"/>
    <n v="200"/>
    <n v="10"/>
    <n v="90"/>
    <n v="100"/>
    <n v="0.5"/>
    <x v="0"/>
    <x v="2"/>
  </r>
  <r>
    <s v="ORD0228"/>
    <d v="2026-04-10T00:00:00"/>
    <s v="C005"/>
    <x v="1"/>
    <x v="2"/>
    <s v="Monitor"/>
    <n v="1"/>
    <n v="9000"/>
    <n v="0"/>
    <n v="6500"/>
    <n v="9000"/>
    <n v="0"/>
    <n v="6500"/>
    <n v="2500"/>
    <n v="0.27777777777777779"/>
    <x v="1"/>
    <x v="8"/>
  </r>
  <r>
    <s v="ORD0229"/>
    <d v="2025-07-06T00:00:00"/>
    <s v="C008"/>
    <x v="2"/>
    <x v="0"/>
    <s v="Laptop Stand"/>
    <n v="2"/>
    <n v="800"/>
    <n v="0"/>
    <n v="450"/>
    <n v="1600"/>
    <n v="0"/>
    <n v="900"/>
    <n v="700"/>
    <n v="0.4375"/>
    <x v="0"/>
    <x v="5"/>
  </r>
  <r>
    <s v="ORD0230"/>
    <d v="2025-04-20T00:00:00"/>
    <s v="C008"/>
    <x v="1"/>
    <x v="2"/>
    <s v="Monitor"/>
    <n v="1"/>
    <n v="9000"/>
    <n v="0.05"/>
    <n v="6500"/>
    <n v="9000"/>
    <n v="450"/>
    <n v="6500"/>
    <n v="2050"/>
    <n v="0.22777777777777777"/>
    <x v="0"/>
    <x v="8"/>
  </r>
  <r>
    <s v="ORD0231"/>
    <d v="2026-01-30T00:00:00"/>
    <s v="C074"/>
    <x v="3"/>
    <x v="2"/>
    <s v="Headphones"/>
    <n v="5"/>
    <n v="1500"/>
    <n v="0.15"/>
    <n v="900"/>
    <n v="7500"/>
    <n v="1125"/>
    <n v="4500"/>
    <n v="1875"/>
    <n v="0.25"/>
    <x v="1"/>
    <x v="1"/>
  </r>
  <r>
    <s v="ORD0232"/>
    <d v="2026-01-21T00:00:00"/>
    <s v="C099"/>
    <x v="2"/>
    <x v="2"/>
    <s v="Mouse"/>
    <n v="1"/>
    <n v="500"/>
    <n v="0.1"/>
    <n v="250"/>
    <n v="500"/>
    <n v="50"/>
    <n v="250"/>
    <n v="200"/>
    <n v="0.4"/>
    <x v="1"/>
    <x v="1"/>
  </r>
  <r>
    <s v="ORD0233"/>
    <d v="2026-02-01T00:00:00"/>
    <s v="C004"/>
    <x v="0"/>
    <x v="1"/>
    <s v="Stapler"/>
    <n v="7"/>
    <n v="200"/>
    <n v="0.05"/>
    <n v="90"/>
    <n v="1400"/>
    <n v="70"/>
    <n v="630"/>
    <n v="700"/>
    <n v="0.5"/>
    <x v="1"/>
    <x v="9"/>
  </r>
  <r>
    <s v="ORD0234"/>
    <d v="2025-08-18T00:00:00"/>
    <s v="C064"/>
    <x v="2"/>
    <x v="2"/>
    <s v="Headphones"/>
    <n v="5"/>
    <n v="1500"/>
    <n v="0.1"/>
    <n v="900"/>
    <n v="7500"/>
    <n v="750"/>
    <n v="4500"/>
    <n v="2250"/>
    <n v="0.3"/>
    <x v="0"/>
    <x v="6"/>
  </r>
  <r>
    <s v="ORD0235"/>
    <d v="2025-02-17T00:00:00"/>
    <s v="C057"/>
    <x v="2"/>
    <x v="0"/>
    <s v="Mouse Pad"/>
    <n v="2"/>
    <n v="250"/>
    <n v="0.15"/>
    <n v="100"/>
    <n v="500"/>
    <n v="75"/>
    <n v="200"/>
    <n v="225"/>
    <n v="0.45"/>
    <x v="0"/>
    <x v="9"/>
  </r>
  <r>
    <s v="ORD0236"/>
    <d v="2025-02-15T00:00:00"/>
    <s v="C017"/>
    <x v="0"/>
    <x v="3"/>
    <s v="Bookshelf"/>
    <n v="5"/>
    <n v="3500"/>
    <n v="0"/>
    <n v="2200"/>
    <n v="17500"/>
    <n v="0"/>
    <n v="11000"/>
    <n v="6500"/>
    <n v="0.37142857142857144"/>
    <x v="0"/>
    <x v="9"/>
  </r>
  <r>
    <s v="ORD0237"/>
    <d v="2025-04-09T00:00:00"/>
    <s v="C072"/>
    <x v="1"/>
    <x v="2"/>
    <s v="Monitor"/>
    <n v="8"/>
    <n v="9000"/>
    <n v="0.05"/>
    <n v="6500"/>
    <n v="72000"/>
    <n v="3600"/>
    <n v="52000"/>
    <n v="16400"/>
    <n v="0.22777777777777777"/>
    <x v="0"/>
    <x v="8"/>
  </r>
  <r>
    <s v="ORD0238"/>
    <d v="2026-08-14T00:00:00"/>
    <s v="C084"/>
    <x v="2"/>
    <x v="2"/>
    <s v="Headphones"/>
    <n v="8"/>
    <n v="1500"/>
    <n v="0.15"/>
    <n v="900"/>
    <n v="12000"/>
    <n v="1800"/>
    <n v="7200"/>
    <n v="3000"/>
    <n v="0.25"/>
    <x v="1"/>
    <x v="6"/>
  </r>
  <r>
    <s v="ORD0239"/>
    <d v="2026-03-23T00:00:00"/>
    <s v="C032"/>
    <x v="0"/>
    <x v="3"/>
    <s v="Bookshelf"/>
    <n v="3"/>
    <n v="3500"/>
    <n v="0.1"/>
    <n v="2200"/>
    <n v="10500"/>
    <n v="1050"/>
    <n v="6600"/>
    <n v="2850"/>
    <n v="0.27142857142857141"/>
    <x v="1"/>
    <x v="3"/>
  </r>
  <r>
    <s v="ORD0240"/>
    <d v="2025-09-08T00:00:00"/>
    <s v="C002"/>
    <x v="2"/>
    <x v="2"/>
    <s v="Monitor"/>
    <n v="2"/>
    <n v="9000"/>
    <n v="0.1"/>
    <n v="6500"/>
    <n v="18000"/>
    <n v="1800"/>
    <n v="13000"/>
    <n v="3200"/>
    <n v="0.17777777777777778"/>
    <x v="0"/>
    <x v="0"/>
  </r>
  <r>
    <s v="ORD0241"/>
    <d v="2025-08-10T00:00:00"/>
    <s v="C075"/>
    <x v="3"/>
    <x v="1"/>
    <s v="Stapler"/>
    <n v="6"/>
    <n v="200"/>
    <n v="0.05"/>
    <n v="90"/>
    <n v="1200"/>
    <n v="60"/>
    <n v="540"/>
    <n v="600"/>
    <n v="0.5"/>
    <x v="0"/>
    <x v="6"/>
  </r>
  <r>
    <s v="ORD0242"/>
    <d v="2026-07-13T00:00:00"/>
    <s v="C084"/>
    <x v="2"/>
    <x v="3"/>
    <s v="Office Chair"/>
    <n v="1"/>
    <n v="4500"/>
    <n v="0.05"/>
    <n v="3000"/>
    <n v="4500"/>
    <n v="225"/>
    <n v="3000"/>
    <n v="1275"/>
    <n v="0.28333333333333333"/>
    <x v="1"/>
    <x v="5"/>
  </r>
  <r>
    <s v="ORD0243"/>
    <d v="2026-11-16T00:00:00"/>
    <s v="C074"/>
    <x v="0"/>
    <x v="1"/>
    <s v="Stapler"/>
    <n v="4"/>
    <n v="200"/>
    <n v="0.1"/>
    <n v="90"/>
    <n v="800"/>
    <n v="80"/>
    <n v="360"/>
    <n v="360"/>
    <n v="0.45"/>
    <x v="1"/>
    <x v="10"/>
  </r>
  <r>
    <s v="ORD0244"/>
    <d v="2026-04-04T00:00:00"/>
    <s v="C060"/>
    <x v="2"/>
    <x v="0"/>
    <s v="Mouse Pad"/>
    <n v="8"/>
    <n v="250"/>
    <n v="0"/>
    <n v="100"/>
    <n v="2000"/>
    <n v="0"/>
    <n v="800"/>
    <n v="1200"/>
    <n v="0.6"/>
    <x v="1"/>
    <x v="8"/>
  </r>
  <r>
    <s v="ORD0245"/>
    <d v="2025-03-03T00:00:00"/>
    <s v="C056"/>
    <x v="0"/>
    <x v="0"/>
    <s v="Webcam"/>
    <n v="8"/>
    <n v="2000"/>
    <n v="0.1"/>
    <n v="1200"/>
    <n v="16000"/>
    <n v="1600"/>
    <n v="9600"/>
    <n v="4800"/>
    <n v="0.3"/>
    <x v="0"/>
    <x v="3"/>
  </r>
  <r>
    <s v="ORD0246"/>
    <d v="2025-10-29T00:00:00"/>
    <s v="C002"/>
    <x v="3"/>
    <x v="1"/>
    <s v="Stapler"/>
    <n v="4"/>
    <n v="200"/>
    <n v="0.1"/>
    <n v="90"/>
    <n v="800"/>
    <n v="80"/>
    <n v="360"/>
    <n v="360"/>
    <n v="0.45"/>
    <x v="0"/>
    <x v="7"/>
  </r>
  <r>
    <s v="ORD0247"/>
    <d v="2026-03-06T00:00:00"/>
    <s v="C084"/>
    <x v="1"/>
    <x v="2"/>
    <s v="Keyboard"/>
    <n v="6"/>
    <n v="1200"/>
    <n v="0.05"/>
    <n v="750"/>
    <n v="7200"/>
    <n v="360"/>
    <n v="4500"/>
    <n v="2340"/>
    <n v="0.32500000000000001"/>
    <x v="1"/>
    <x v="3"/>
  </r>
  <r>
    <s v="ORD0248"/>
    <d v="2026-06-05T00:00:00"/>
    <s v="C043"/>
    <x v="0"/>
    <x v="0"/>
    <s v="Webcam"/>
    <n v="3"/>
    <n v="2000"/>
    <n v="0.05"/>
    <n v="1200"/>
    <n v="6000"/>
    <n v="300"/>
    <n v="3600"/>
    <n v="2100"/>
    <n v="0.35"/>
    <x v="1"/>
    <x v="2"/>
  </r>
  <r>
    <s v="ORD0249"/>
    <d v="2026-05-10T00:00:00"/>
    <s v="C063"/>
    <x v="2"/>
    <x v="3"/>
    <s v="Office Chair"/>
    <n v="4"/>
    <n v="4500"/>
    <n v="0.15"/>
    <n v="3000"/>
    <n v="18000"/>
    <n v="2700"/>
    <n v="12000"/>
    <n v="3300"/>
    <n v="0.18333333333333332"/>
    <x v="1"/>
    <x v="11"/>
  </r>
  <r>
    <s v="ORD0250"/>
    <d v="2026-03-24T00:00:00"/>
    <s v="C076"/>
    <x v="2"/>
    <x v="3"/>
    <s v="Desk"/>
    <n v="2"/>
    <n v="6000"/>
    <n v="0.05"/>
    <n v="4000"/>
    <n v="12000"/>
    <n v="600"/>
    <n v="8000"/>
    <n v="3400"/>
    <n v="0.28333333333333333"/>
    <x v="1"/>
    <x v="3"/>
  </r>
  <r>
    <s v="ORD0251"/>
    <d v="2025-09-25T00:00:00"/>
    <s v="C090"/>
    <x v="1"/>
    <x v="2"/>
    <s v="Keyboard"/>
    <n v="8"/>
    <n v="1200"/>
    <n v="0"/>
    <n v="750"/>
    <n v="9600"/>
    <n v="0"/>
    <n v="6000"/>
    <n v="3600"/>
    <n v="0.375"/>
    <x v="0"/>
    <x v="0"/>
  </r>
  <r>
    <s v="ORD0252"/>
    <d v="2026-04-15T00:00:00"/>
    <s v="C091"/>
    <x v="3"/>
    <x v="1"/>
    <s v="Pen Set"/>
    <n v="2"/>
    <n v="150"/>
    <n v="0.1"/>
    <n v="60"/>
    <n v="300"/>
    <n v="30"/>
    <n v="120"/>
    <n v="150"/>
    <n v="0.5"/>
    <x v="1"/>
    <x v="8"/>
  </r>
  <r>
    <s v="ORD0253"/>
    <d v="2025-03-23T00:00:00"/>
    <s v="C043"/>
    <x v="1"/>
    <x v="2"/>
    <s v="Headphones"/>
    <n v="1"/>
    <n v="1500"/>
    <n v="0.15"/>
    <n v="900"/>
    <n v="1500"/>
    <n v="225"/>
    <n v="900"/>
    <n v="375"/>
    <n v="0.25"/>
    <x v="0"/>
    <x v="3"/>
  </r>
  <r>
    <s v="ORD0254"/>
    <d v="2026-01-26T00:00:00"/>
    <s v="C089"/>
    <x v="1"/>
    <x v="3"/>
    <s v="Bookshelf"/>
    <n v="5"/>
    <n v="3500"/>
    <n v="0"/>
    <n v="2200"/>
    <n v="17500"/>
    <n v="0"/>
    <n v="11000"/>
    <n v="6500"/>
    <n v="0.37142857142857144"/>
    <x v="1"/>
    <x v="1"/>
  </r>
  <r>
    <s v="ORD0255"/>
    <d v="2025-12-13T00:00:00"/>
    <s v="C024"/>
    <x v="0"/>
    <x v="3"/>
    <s v="Desk"/>
    <n v="5"/>
    <n v="6000"/>
    <n v="0.15"/>
    <n v="4000"/>
    <n v="30000"/>
    <n v="4500"/>
    <n v="20000"/>
    <n v="5500"/>
    <n v="0.18333333333333332"/>
    <x v="0"/>
    <x v="4"/>
  </r>
  <r>
    <s v="ORD0256"/>
    <d v="2025-11-06T00:00:00"/>
    <s v="C091"/>
    <x v="3"/>
    <x v="0"/>
    <s v="Mouse Pad"/>
    <n v="3"/>
    <n v="250"/>
    <n v="0"/>
    <n v="100"/>
    <n v="750"/>
    <n v="0"/>
    <n v="300"/>
    <n v="450"/>
    <n v="0.6"/>
    <x v="0"/>
    <x v="10"/>
  </r>
  <r>
    <s v="ORD0257"/>
    <d v="2026-11-25T00:00:00"/>
    <s v="C026"/>
    <x v="0"/>
    <x v="1"/>
    <s v="Notebook"/>
    <n v="6"/>
    <n v="100"/>
    <n v="0"/>
    <n v="40"/>
    <n v="600"/>
    <n v="0"/>
    <n v="240"/>
    <n v="360"/>
    <n v="0.6"/>
    <x v="1"/>
    <x v="10"/>
  </r>
  <r>
    <s v="ORD0258"/>
    <d v="2025-05-05T00:00:00"/>
    <s v="C071"/>
    <x v="0"/>
    <x v="3"/>
    <s v="Bookshelf"/>
    <n v="4"/>
    <n v="3500"/>
    <n v="0.15"/>
    <n v="2200"/>
    <n v="14000"/>
    <n v="2100"/>
    <n v="8800"/>
    <n v="3100"/>
    <n v="0.22142857142857142"/>
    <x v="0"/>
    <x v="11"/>
  </r>
  <r>
    <s v="ORD0259"/>
    <d v="2026-10-29T00:00:00"/>
    <s v="C047"/>
    <x v="2"/>
    <x v="0"/>
    <s v="Laptop Stand"/>
    <n v="3"/>
    <n v="800"/>
    <n v="0"/>
    <n v="450"/>
    <n v="2400"/>
    <n v="0"/>
    <n v="1350"/>
    <n v="1050"/>
    <n v="0.4375"/>
    <x v="1"/>
    <x v="7"/>
  </r>
  <r>
    <s v="ORD0260"/>
    <d v="2025-06-29T00:00:00"/>
    <s v="C089"/>
    <x v="2"/>
    <x v="3"/>
    <s v="Desk"/>
    <n v="8"/>
    <n v="6000"/>
    <n v="0"/>
    <n v="4000"/>
    <n v="48000"/>
    <n v="0"/>
    <n v="32000"/>
    <n v="16000"/>
    <n v="0.33333333333333331"/>
    <x v="0"/>
    <x v="2"/>
  </r>
  <r>
    <s v="ORD0261"/>
    <d v="2025-05-16T00:00:00"/>
    <s v="C068"/>
    <x v="0"/>
    <x v="0"/>
    <s v="USB Hub"/>
    <n v="3"/>
    <n v="700"/>
    <n v="0"/>
    <n v="400"/>
    <n v="2100"/>
    <n v="0"/>
    <n v="1200"/>
    <n v="900"/>
    <n v="0.42857142857142855"/>
    <x v="0"/>
    <x v="11"/>
  </r>
  <r>
    <s v="ORD0262"/>
    <d v="2026-12-27T00:00:00"/>
    <s v="C016"/>
    <x v="1"/>
    <x v="0"/>
    <s v="Mouse Pad"/>
    <n v="6"/>
    <n v="250"/>
    <n v="0.15"/>
    <n v="100"/>
    <n v="1500"/>
    <n v="225"/>
    <n v="600"/>
    <n v="675"/>
    <n v="0.45"/>
    <x v="1"/>
    <x v="4"/>
  </r>
  <r>
    <s v="ORD0263"/>
    <d v="2025-07-23T00:00:00"/>
    <s v="C079"/>
    <x v="3"/>
    <x v="1"/>
    <s v="Pen Set"/>
    <n v="4"/>
    <n v="150"/>
    <n v="0.15"/>
    <n v="60"/>
    <n v="600"/>
    <n v="90"/>
    <n v="240"/>
    <n v="270"/>
    <n v="0.45"/>
    <x v="0"/>
    <x v="5"/>
  </r>
  <r>
    <s v="ORD0264"/>
    <d v="2025-06-19T00:00:00"/>
    <s v="C057"/>
    <x v="3"/>
    <x v="3"/>
    <s v="Desk"/>
    <n v="2"/>
    <n v="6000"/>
    <n v="0"/>
    <n v="4000"/>
    <n v="12000"/>
    <n v="0"/>
    <n v="8000"/>
    <n v="4000"/>
    <n v="0.33333333333333331"/>
    <x v="0"/>
    <x v="2"/>
  </r>
  <r>
    <s v="ORD0265"/>
    <d v="2026-07-05T00:00:00"/>
    <s v="C040"/>
    <x v="2"/>
    <x v="3"/>
    <s v="Bookshelf"/>
    <n v="2"/>
    <n v="3500"/>
    <n v="0.15"/>
    <n v="2200"/>
    <n v="7000"/>
    <n v="1050"/>
    <n v="4400"/>
    <n v="1550"/>
    <n v="0.22142857142857142"/>
    <x v="1"/>
    <x v="5"/>
  </r>
  <r>
    <s v="ORD0266"/>
    <d v="2026-07-24T00:00:00"/>
    <s v="C099"/>
    <x v="3"/>
    <x v="2"/>
    <s v="Mouse"/>
    <n v="2"/>
    <n v="500"/>
    <n v="0.15"/>
    <n v="250"/>
    <n v="1000"/>
    <n v="150"/>
    <n v="500"/>
    <n v="350"/>
    <n v="0.35"/>
    <x v="1"/>
    <x v="5"/>
  </r>
  <r>
    <s v="ORD0267"/>
    <d v="2025-04-29T00:00:00"/>
    <s v="C036"/>
    <x v="1"/>
    <x v="2"/>
    <s v="Mouse"/>
    <n v="5"/>
    <n v="500"/>
    <n v="0.1"/>
    <n v="250"/>
    <n v="2500"/>
    <n v="250"/>
    <n v="1250"/>
    <n v="1000"/>
    <n v="0.4"/>
    <x v="0"/>
    <x v="8"/>
  </r>
  <r>
    <s v="ORD0268"/>
    <d v="2026-07-20T00:00:00"/>
    <s v="C037"/>
    <x v="0"/>
    <x v="3"/>
    <s v="Desk"/>
    <n v="6"/>
    <n v="6000"/>
    <n v="0.1"/>
    <n v="4000"/>
    <n v="36000"/>
    <n v="3600"/>
    <n v="24000"/>
    <n v="8400"/>
    <n v="0.23333333333333334"/>
    <x v="1"/>
    <x v="5"/>
  </r>
  <r>
    <s v="ORD0269"/>
    <d v="2025-10-31T00:00:00"/>
    <s v="C066"/>
    <x v="3"/>
    <x v="0"/>
    <s v="Laptop Stand"/>
    <n v="5"/>
    <n v="800"/>
    <n v="0.15"/>
    <n v="450"/>
    <n v="4000"/>
    <n v="600"/>
    <n v="2250"/>
    <n v="1150"/>
    <n v="0.28749999999999998"/>
    <x v="0"/>
    <x v="7"/>
  </r>
  <r>
    <s v="ORD0270"/>
    <d v="2025-07-11T00:00:00"/>
    <s v="C008"/>
    <x v="3"/>
    <x v="1"/>
    <s v="Stapler"/>
    <n v="4"/>
    <n v="200"/>
    <n v="0"/>
    <n v="90"/>
    <n v="800"/>
    <n v="0"/>
    <n v="360"/>
    <n v="440"/>
    <n v="0.55000000000000004"/>
    <x v="0"/>
    <x v="5"/>
  </r>
  <r>
    <s v="ORD0271"/>
    <d v="2025-11-30T00:00:00"/>
    <s v="C089"/>
    <x v="2"/>
    <x v="3"/>
    <s v="Desk"/>
    <n v="6"/>
    <n v="6000"/>
    <n v="0"/>
    <n v="4000"/>
    <n v="36000"/>
    <n v="0"/>
    <n v="24000"/>
    <n v="12000"/>
    <n v="0.33333333333333331"/>
    <x v="0"/>
    <x v="10"/>
  </r>
  <r>
    <s v="ORD0272"/>
    <d v="2026-10-28T00:00:00"/>
    <s v="C007"/>
    <x v="0"/>
    <x v="0"/>
    <s v="Webcam"/>
    <n v="2"/>
    <n v="2000"/>
    <n v="0.15"/>
    <n v="1200"/>
    <n v="4000"/>
    <n v="600"/>
    <n v="2400"/>
    <n v="1000"/>
    <n v="0.25"/>
    <x v="1"/>
    <x v="7"/>
  </r>
  <r>
    <s v="ORD0273"/>
    <d v="2026-04-11T00:00:00"/>
    <s v="C073"/>
    <x v="2"/>
    <x v="2"/>
    <s v="Headphones"/>
    <n v="5"/>
    <n v="1500"/>
    <n v="0.15"/>
    <n v="900"/>
    <n v="7500"/>
    <n v="1125"/>
    <n v="4500"/>
    <n v="1875"/>
    <n v="0.25"/>
    <x v="1"/>
    <x v="8"/>
  </r>
  <r>
    <s v="ORD0274"/>
    <d v="2025-02-13T00:00:00"/>
    <s v="C020"/>
    <x v="0"/>
    <x v="3"/>
    <s v="Office Chair"/>
    <n v="2"/>
    <n v="4500"/>
    <n v="0"/>
    <n v="3000"/>
    <n v="9000"/>
    <n v="0"/>
    <n v="6000"/>
    <n v="3000"/>
    <n v="0.33333333333333331"/>
    <x v="0"/>
    <x v="9"/>
  </r>
  <r>
    <s v="ORD0275"/>
    <d v="2025-09-07T00:00:00"/>
    <s v="C002"/>
    <x v="1"/>
    <x v="1"/>
    <s v="Printer Paper"/>
    <n v="7"/>
    <n v="300"/>
    <n v="0.1"/>
    <n v="180"/>
    <n v="2100"/>
    <n v="210"/>
    <n v="1260"/>
    <n v="630"/>
    <n v="0.3"/>
    <x v="0"/>
    <x v="0"/>
  </r>
  <r>
    <s v="ORD0276"/>
    <d v="2026-10-06T00:00:00"/>
    <s v="C076"/>
    <x v="1"/>
    <x v="3"/>
    <s v="Desk"/>
    <n v="3"/>
    <n v="6000"/>
    <n v="0.05"/>
    <n v="4000"/>
    <n v="18000"/>
    <n v="900"/>
    <n v="12000"/>
    <n v="5100"/>
    <n v="0.28333333333333333"/>
    <x v="1"/>
    <x v="7"/>
  </r>
  <r>
    <s v="ORD0277"/>
    <d v="2025-07-18T00:00:00"/>
    <s v="C062"/>
    <x v="0"/>
    <x v="3"/>
    <s v="Cabinet"/>
    <n v="4"/>
    <n v="4000"/>
    <n v="0.05"/>
    <n v="2700"/>
    <n v="16000"/>
    <n v="800"/>
    <n v="10800"/>
    <n v="4400"/>
    <n v="0.27500000000000002"/>
    <x v="0"/>
    <x v="5"/>
  </r>
  <r>
    <s v="ORD0278"/>
    <d v="2026-07-30T00:00:00"/>
    <s v="C057"/>
    <x v="2"/>
    <x v="2"/>
    <s v="Headphones"/>
    <n v="3"/>
    <n v="1500"/>
    <n v="0.05"/>
    <n v="900"/>
    <n v="4500"/>
    <n v="225"/>
    <n v="2700"/>
    <n v="1575"/>
    <n v="0.35"/>
    <x v="1"/>
    <x v="5"/>
  </r>
  <r>
    <s v="ORD0279"/>
    <d v="2026-03-02T00:00:00"/>
    <s v="C032"/>
    <x v="0"/>
    <x v="2"/>
    <s v="Mouse"/>
    <n v="2"/>
    <n v="500"/>
    <n v="0.05"/>
    <n v="250"/>
    <n v="1000"/>
    <n v="50"/>
    <n v="500"/>
    <n v="450"/>
    <n v="0.45"/>
    <x v="1"/>
    <x v="3"/>
  </r>
  <r>
    <s v="ORD0280"/>
    <d v="2025-06-26T00:00:00"/>
    <s v="C063"/>
    <x v="2"/>
    <x v="1"/>
    <s v="Stapler"/>
    <n v="2"/>
    <n v="200"/>
    <n v="0.05"/>
    <n v="90"/>
    <n v="400"/>
    <n v="20"/>
    <n v="180"/>
    <n v="200"/>
    <n v="0.5"/>
    <x v="0"/>
    <x v="2"/>
  </r>
  <r>
    <s v="ORD0281"/>
    <d v="2025-03-06T00:00:00"/>
    <s v="C074"/>
    <x v="2"/>
    <x v="3"/>
    <s v="Bookshelf"/>
    <n v="1"/>
    <n v="3500"/>
    <n v="0.1"/>
    <n v="2200"/>
    <n v="3500"/>
    <n v="350"/>
    <n v="2200"/>
    <n v="950"/>
    <n v="0.27142857142857141"/>
    <x v="0"/>
    <x v="3"/>
  </r>
  <r>
    <s v="ORD0282"/>
    <d v="2025-01-18T00:00:00"/>
    <s v="C056"/>
    <x v="0"/>
    <x v="2"/>
    <s v="Mouse"/>
    <n v="4"/>
    <n v="500"/>
    <n v="0.05"/>
    <n v="250"/>
    <n v="2000"/>
    <n v="100"/>
    <n v="1000"/>
    <n v="900"/>
    <n v="0.45"/>
    <x v="0"/>
    <x v="1"/>
  </r>
  <r>
    <s v="ORD0283"/>
    <d v="2025-10-01T00:00:00"/>
    <s v="C027"/>
    <x v="3"/>
    <x v="0"/>
    <s v="Mouse Pad"/>
    <n v="3"/>
    <n v="250"/>
    <n v="0.15"/>
    <n v="100"/>
    <n v="750"/>
    <n v="112.5"/>
    <n v="300"/>
    <n v="337.5"/>
    <n v="0.45"/>
    <x v="0"/>
    <x v="7"/>
  </r>
  <r>
    <s v="ORD0284"/>
    <d v="2026-07-18T00:00:00"/>
    <s v="C002"/>
    <x v="2"/>
    <x v="0"/>
    <s v="Webcam"/>
    <n v="6"/>
    <n v="2000"/>
    <n v="0.05"/>
    <n v="1200"/>
    <n v="12000"/>
    <n v="600"/>
    <n v="7200"/>
    <n v="4200"/>
    <n v="0.35"/>
    <x v="1"/>
    <x v="5"/>
  </r>
  <r>
    <s v="ORD0285"/>
    <d v="2026-08-11T00:00:00"/>
    <s v="C015"/>
    <x v="1"/>
    <x v="0"/>
    <s v="Mouse Pad"/>
    <n v="6"/>
    <n v="250"/>
    <n v="0.15"/>
    <n v="100"/>
    <n v="1500"/>
    <n v="225"/>
    <n v="600"/>
    <n v="675"/>
    <n v="0.45"/>
    <x v="1"/>
    <x v="6"/>
  </r>
  <r>
    <s v="ORD0286"/>
    <d v="2025-03-25T00:00:00"/>
    <s v="C037"/>
    <x v="2"/>
    <x v="1"/>
    <s v="Stapler"/>
    <n v="4"/>
    <n v="200"/>
    <n v="0.1"/>
    <n v="90"/>
    <n v="800"/>
    <n v="80"/>
    <n v="360"/>
    <n v="360"/>
    <n v="0.45"/>
    <x v="0"/>
    <x v="3"/>
  </r>
  <r>
    <s v="ORD0287"/>
    <d v="2026-01-18T00:00:00"/>
    <s v="C097"/>
    <x v="2"/>
    <x v="1"/>
    <s v="Notebook"/>
    <n v="8"/>
    <n v="100"/>
    <n v="0.15"/>
    <n v="40"/>
    <n v="800"/>
    <n v="120"/>
    <n v="320"/>
    <n v="360"/>
    <n v="0.45"/>
    <x v="1"/>
    <x v="1"/>
  </r>
  <r>
    <s v="ORD0288"/>
    <d v="2025-08-04T00:00:00"/>
    <s v="C043"/>
    <x v="1"/>
    <x v="1"/>
    <s v="Notebook"/>
    <n v="5"/>
    <n v="100"/>
    <n v="0.1"/>
    <n v="40"/>
    <n v="500"/>
    <n v="50"/>
    <n v="200"/>
    <n v="250"/>
    <n v="0.5"/>
    <x v="0"/>
    <x v="6"/>
  </r>
  <r>
    <s v="ORD0289"/>
    <d v="2025-09-06T00:00:00"/>
    <s v="C075"/>
    <x v="2"/>
    <x v="1"/>
    <s v="Notebook"/>
    <n v="8"/>
    <n v="100"/>
    <n v="0.15"/>
    <n v="40"/>
    <n v="800"/>
    <n v="120"/>
    <n v="320"/>
    <n v="360"/>
    <n v="0.45"/>
    <x v="0"/>
    <x v="0"/>
  </r>
  <r>
    <s v="ORD0290"/>
    <d v="2025-08-27T00:00:00"/>
    <s v="C057"/>
    <x v="1"/>
    <x v="0"/>
    <s v="Mouse Pad"/>
    <n v="8"/>
    <n v="250"/>
    <n v="0.15"/>
    <n v="100"/>
    <n v="2000"/>
    <n v="300"/>
    <n v="800"/>
    <n v="900"/>
    <n v="0.45"/>
    <x v="0"/>
    <x v="6"/>
  </r>
  <r>
    <s v="ORD0291"/>
    <d v="2026-01-27T00:00:00"/>
    <s v="C094"/>
    <x v="2"/>
    <x v="1"/>
    <s v="Stapler"/>
    <n v="7"/>
    <n v="200"/>
    <n v="0.05"/>
    <n v="90"/>
    <n v="1400"/>
    <n v="70"/>
    <n v="630"/>
    <n v="700"/>
    <n v="0.5"/>
    <x v="1"/>
    <x v="1"/>
  </r>
  <r>
    <s v="ORD0292"/>
    <d v="2026-02-07T00:00:00"/>
    <s v="C077"/>
    <x v="1"/>
    <x v="1"/>
    <s v="Notebook"/>
    <n v="6"/>
    <n v="100"/>
    <n v="0.1"/>
    <n v="40"/>
    <n v="600"/>
    <n v="60"/>
    <n v="240"/>
    <n v="300"/>
    <n v="0.5"/>
    <x v="1"/>
    <x v="9"/>
  </r>
  <r>
    <s v="ORD0293"/>
    <d v="2025-09-25T00:00:00"/>
    <s v="C028"/>
    <x v="2"/>
    <x v="0"/>
    <s v="Mouse Pad"/>
    <n v="1"/>
    <n v="250"/>
    <n v="0.05"/>
    <n v="100"/>
    <n v="250"/>
    <n v="12.5"/>
    <n v="100"/>
    <n v="137.5"/>
    <n v="0.55000000000000004"/>
    <x v="0"/>
    <x v="0"/>
  </r>
  <r>
    <s v="ORD0294"/>
    <d v="2025-01-02T00:00:00"/>
    <s v="C093"/>
    <x v="3"/>
    <x v="0"/>
    <s v="Webcam"/>
    <n v="2"/>
    <n v="2000"/>
    <n v="0"/>
    <n v="1200"/>
    <n v="4000"/>
    <n v="0"/>
    <n v="2400"/>
    <n v="1600"/>
    <n v="0.4"/>
    <x v="0"/>
    <x v="1"/>
  </r>
  <r>
    <s v="ORD0295"/>
    <d v="2025-06-05T00:00:00"/>
    <s v="C012"/>
    <x v="3"/>
    <x v="2"/>
    <s v="Headphones"/>
    <n v="2"/>
    <n v="1500"/>
    <n v="0.15"/>
    <n v="900"/>
    <n v="3000"/>
    <n v="450"/>
    <n v="1800"/>
    <n v="750"/>
    <n v="0.25"/>
    <x v="0"/>
    <x v="2"/>
  </r>
  <r>
    <s v="ORD0296"/>
    <d v="2025-06-23T00:00:00"/>
    <s v="C001"/>
    <x v="0"/>
    <x v="0"/>
    <s v="Laptop Stand"/>
    <n v="4"/>
    <n v="800"/>
    <n v="0.05"/>
    <n v="450"/>
    <n v="3200"/>
    <n v="160"/>
    <n v="1800"/>
    <n v="1240"/>
    <n v="0.38750000000000001"/>
    <x v="0"/>
    <x v="2"/>
  </r>
  <r>
    <s v="ORD0297"/>
    <d v="2026-06-02T00:00:00"/>
    <s v="C060"/>
    <x v="0"/>
    <x v="1"/>
    <s v="Stapler"/>
    <n v="1"/>
    <n v="200"/>
    <n v="0"/>
    <n v="90"/>
    <n v="200"/>
    <n v="0"/>
    <n v="90"/>
    <n v="110"/>
    <n v="0.55000000000000004"/>
    <x v="1"/>
    <x v="2"/>
  </r>
  <r>
    <s v="ORD0298"/>
    <d v="2025-05-24T00:00:00"/>
    <s v="C078"/>
    <x v="2"/>
    <x v="1"/>
    <s v="Notebook"/>
    <n v="1"/>
    <n v="100"/>
    <n v="0.15"/>
    <n v="40"/>
    <n v="100"/>
    <n v="15"/>
    <n v="40"/>
    <n v="45"/>
    <n v="0.45"/>
    <x v="0"/>
    <x v="11"/>
  </r>
  <r>
    <s v="ORD0299"/>
    <d v="2025-02-06T00:00:00"/>
    <s v="C010"/>
    <x v="0"/>
    <x v="2"/>
    <s v="Monitor"/>
    <n v="2"/>
    <n v="9000"/>
    <n v="0.1"/>
    <n v="6500"/>
    <n v="18000"/>
    <n v="1800"/>
    <n v="13000"/>
    <n v="3200"/>
    <n v="0.17777777777777778"/>
    <x v="0"/>
    <x v="9"/>
  </r>
  <r>
    <s v="ORD0300"/>
    <d v="2026-09-25T00:00:00"/>
    <s v="C018"/>
    <x v="2"/>
    <x v="2"/>
    <s v="Mouse"/>
    <n v="5"/>
    <n v="500"/>
    <n v="0.15"/>
    <n v="250"/>
    <n v="2500"/>
    <n v="375"/>
    <n v="1250"/>
    <n v="875"/>
    <n v="0.35"/>
    <x v="1"/>
    <x v="0"/>
  </r>
  <r>
    <s v="ORD0301"/>
    <d v="2026-02-19T00:00:00"/>
    <s v="C076"/>
    <x v="2"/>
    <x v="1"/>
    <s v="Notebook"/>
    <n v="7"/>
    <n v="100"/>
    <n v="0.15"/>
    <n v="40"/>
    <n v="700"/>
    <n v="105"/>
    <n v="280"/>
    <n v="315"/>
    <n v="0.45"/>
    <x v="1"/>
    <x v="9"/>
  </r>
  <r>
    <s v="ORD0302"/>
    <d v="2025-11-20T00:00:00"/>
    <s v="C045"/>
    <x v="0"/>
    <x v="3"/>
    <s v="Bookshelf"/>
    <n v="2"/>
    <n v="3500"/>
    <n v="0"/>
    <n v="2200"/>
    <n v="7000"/>
    <n v="0"/>
    <n v="4400"/>
    <n v="2600"/>
    <n v="0.37142857142857144"/>
    <x v="0"/>
    <x v="10"/>
  </r>
  <r>
    <s v="ORD0303"/>
    <d v="2026-06-06T00:00:00"/>
    <s v="C086"/>
    <x v="0"/>
    <x v="3"/>
    <s v="Desk"/>
    <n v="2"/>
    <n v="6000"/>
    <n v="0.05"/>
    <n v="4000"/>
    <n v="12000"/>
    <n v="600"/>
    <n v="8000"/>
    <n v="3400"/>
    <n v="0.28333333333333333"/>
    <x v="1"/>
    <x v="2"/>
  </r>
  <r>
    <s v="ORD0304"/>
    <d v="2025-02-16T00:00:00"/>
    <s v="C038"/>
    <x v="0"/>
    <x v="3"/>
    <s v="Cabinet"/>
    <n v="7"/>
    <n v="4000"/>
    <n v="0.1"/>
    <n v="2700"/>
    <n v="28000"/>
    <n v="2800"/>
    <n v="18900"/>
    <n v="6300"/>
    <n v="0.22500000000000001"/>
    <x v="0"/>
    <x v="9"/>
  </r>
  <r>
    <s v="ORD0305"/>
    <d v="2026-02-01T00:00:00"/>
    <s v="C057"/>
    <x v="0"/>
    <x v="3"/>
    <s v="Desk"/>
    <n v="8"/>
    <n v="6000"/>
    <n v="0.15"/>
    <n v="4000"/>
    <n v="48000"/>
    <n v="7200"/>
    <n v="32000"/>
    <n v="8800"/>
    <n v="0.18333333333333332"/>
    <x v="1"/>
    <x v="9"/>
  </r>
  <r>
    <s v="ORD0306"/>
    <d v="2025-09-08T00:00:00"/>
    <s v="C013"/>
    <x v="2"/>
    <x v="2"/>
    <s v="Mouse"/>
    <n v="3"/>
    <n v="500"/>
    <n v="0"/>
    <n v="250"/>
    <n v="1500"/>
    <n v="0"/>
    <n v="750"/>
    <n v="750"/>
    <n v="0.5"/>
    <x v="0"/>
    <x v="0"/>
  </r>
  <r>
    <s v="ORD0307"/>
    <d v="2026-04-23T00:00:00"/>
    <s v="C020"/>
    <x v="0"/>
    <x v="2"/>
    <s v="Headphones"/>
    <n v="5"/>
    <n v="1500"/>
    <n v="0.1"/>
    <n v="900"/>
    <n v="7500"/>
    <n v="750"/>
    <n v="4500"/>
    <n v="2250"/>
    <n v="0.3"/>
    <x v="1"/>
    <x v="8"/>
  </r>
  <r>
    <s v="ORD0308"/>
    <d v="2025-02-03T00:00:00"/>
    <s v="C030"/>
    <x v="0"/>
    <x v="1"/>
    <s v="Notebook"/>
    <n v="5"/>
    <n v="100"/>
    <n v="0.1"/>
    <n v="40"/>
    <n v="500"/>
    <n v="50"/>
    <n v="200"/>
    <n v="250"/>
    <n v="0.5"/>
    <x v="0"/>
    <x v="9"/>
  </r>
  <r>
    <s v="ORD0309"/>
    <d v="2025-03-01T00:00:00"/>
    <s v="C026"/>
    <x v="0"/>
    <x v="3"/>
    <s v="Office Chair"/>
    <n v="3"/>
    <n v="4500"/>
    <n v="0.15"/>
    <n v="3000"/>
    <n v="13500"/>
    <n v="2025"/>
    <n v="9000"/>
    <n v="2475"/>
    <n v="0.18333333333333332"/>
    <x v="0"/>
    <x v="3"/>
  </r>
  <r>
    <s v="ORD0310"/>
    <d v="2025-12-09T00:00:00"/>
    <s v="C050"/>
    <x v="2"/>
    <x v="1"/>
    <s v="Notebook"/>
    <n v="1"/>
    <n v="100"/>
    <n v="0.15"/>
    <n v="40"/>
    <n v="100"/>
    <n v="15"/>
    <n v="40"/>
    <n v="45"/>
    <n v="0.45"/>
    <x v="0"/>
    <x v="4"/>
  </r>
  <r>
    <s v="ORD0311"/>
    <d v="2025-06-15T00:00:00"/>
    <s v="C069"/>
    <x v="1"/>
    <x v="1"/>
    <s v="Printer Paper"/>
    <n v="8"/>
    <n v="300"/>
    <n v="0.05"/>
    <n v="180"/>
    <n v="2400"/>
    <n v="120"/>
    <n v="1440"/>
    <n v="840"/>
    <n v="0.35"/>
    <x v="0"/>
    <x v="2"/>
  </r>
  <r>
    <s v="ORD0312"/>
    <d v="2026-02-28T00:00:00"/>
    <s v="C050"/>
    <x v="3"/>
    <x v="3"/>
    <s v="Bookshelf"/>
    <n v="4"/>
    <n v="3500"/>
    <n v="0.15"/>
    <n v="2200"/>
    <n v="14000"/>
    <n v="2100"/>
    <n v="8800"/>
    <n v="3100"/>
    <n v="0.22142857142857142"/>
    <x v="1"/>
    <x v="9"/>
  </r>
  <r>
    <s v="ORD0313"/>
    <d v="2026-03-22T00:00:00"/>
    <s v="C016"/>
    <x v="2"/>
    <x v="0"/>
    <s v="Webcam"/>
    <n v="3"/>
    <n v="2000"/>
    <n v="0"/>
    <n v="1200"/>
    <n v="6000"/>
    <n v="0"/>
    <n v="3600"/>
    <n v="2400"/>
    <n v="0.4"/>
    <x v="1"/>
    <x v="3"/>
  </r>
  <r>
    <s v="ORD0314"/>
    <d v="2025-09-07T00:00:00"/>
    <s v="C090"/>
    <x v="2"/>
    <x v="2"/>
    <s v="Monitor"/>
    <n v="6"/>
    <n v="9000"/>
    <n v="0.15"/>
    <n v="6500"/>
    <n v="54000"/>
    <n v="8100"/>
    <n v="39000"/>
    <n v="6900"/>
    <n v="0.12777777777777777"/>
    <x v="0"/>
    <x v="0"/>
  </r>
  <r>
    <s v="ORD0315"/>
    <d v="2026-06-01T00:00:00"/>
    <s v="C034"/>
    <x v="3"/>
    <x v="2"/>
    <s v="Monitor"/>
    <n v="5"/>
    <n v="9000"/>
    <n v="0.15"/>
    <n v="6500"/>
    <n v="45000"/>
    <n v="6750"/>
    <n v="32500"/>
    <n v="5750"/>
    <n v="0.12777777777777777"/>
    <x v="1"/>
    <x v="2"/>
  </r>
  <r>
    <s v="ORD0316"/>
    <d v="2026-03-30T00:00:00"/>
    <s v="C071"/>
    <x v="3"/>
    <x v="3"/>
    <s v="Desk"/>
    <n v="5"/>
    <n v="6000"/>
    <n v="0.15"/>
    <n v="4000"/>
    <n v="30000"/>
    <n v="4500"/>
    <n v="20000"/>
    <n v="5500"/>
    <n v="0.18333333333333332"/>
    <x v="1"/>
    <x v="3"/>
  </r>
  <r>
    <s v="ORD0317"/>
    <d v="2025-11-18T00:00:00"/>
    <s v="C067"/>
    <x v="1"/>
    <x v="2"/>
    <s v="Mouse"/>
    <n v="8"/>
    <n v="500"/>
    <n v="0.05"/>
    <n v="250"/>
    <n v="4000"/>
    <n v="200"/>
    <n v="2000"/>
    <n v="1800"/>
    <n v="0.45"/>
    <x v="0"/>
    <x v="10"/>
  </r>
  <r>
    <s v="ORD0318"/>
    <d v="2025-03-25T00:00:00"/>
    <s v="C017"/>
    <x v="0"/>
    <x v="0"/>
    <s v="Webcam"/>
    <n v="1"/>
    <n v="2000"/>
    <n v="0.15"/>
    <n v="1200"/>
    <n v="2000"/>
    <n v="300"/>
    <n v="1200"/>
    <n v="500"/>
    <n v="0.25"/>
    <x v="0"/>
    <x v="3"/>
  </r>
  <r>
    <s v="ORD0319"/>
    <d v="2026-06-14T00:00:00"/>
    <s v="C083"/>
    <x v="1"/>
    <x v="0"/>
    <s v="Webcam"/>
    <n v="6"/>
    <n v="2000"/>
    <n v="0.1"/>
    <n v="1200"/>
    <n v="12000"/>
    <n v="1200"/>
    <n v="7200"/>
    <n v="3600"/>
    <n v="0.3"/>
    <x v="1"/>
    <x v="2"/>
  </r>
  <r>
    <s v="ORD0320"/>
    <d v="2026-07-15T00:00:00"/>
    <s v="C099"/>
    <x v="1"/>
    <x v="3"/>
    <s v="Office Chair"/>
    <n v="7"/>
    <n v="4500"/>
    <n v="0.05"/>
    <n v="3000"/>
    <n v="31500"/>
    <n v="1575"/>
    <n v="21000"/>
    <n v="8925"/>
    <n v="0.28333333333333333"/>
    <x v="1"/>
    <x v="5"/>
  </r>
  <r>
    <s v="ORD0321"/>
    <d v="2025-03-15T00:00:00"/>
    <s v="C074"/>
    <x v="2"/>
    <x v="2"/>
    <s v="Headphones"/>
    <n v="3"/>
    <n v="1500"/>
    <n v="0.15"/>
    <n v="900"/>
    <n v="4500"/>
    <n v="675"/>
    <n v="2700"/>
    <n v="1125"/>
    <n v="0.25"/>
    <x v="0"/>
    <x v="3"/>
  </r>
  <r>
    <s v="ORD0322"/>
    <d v="2025-12-24T00:00:00"/>
    <s v="C077"/>
    <x v="2"/>
    <x v="3"/>
    <s v="Office Chair"/>
    <n v="4"/>
    <n v="4500"/>
    <n v="0"/>
    <n v="3000"/>
    <n v="18000"/>
    <n v="0"/>
    <n v="12000"/>
    <n v="6000"/>
    <n v="0.33333333333333331"/>
    <x v="0"/>
    <x v="4"/>
  </r>
  <r>
    <s v="ORD0323"/>
    <d v="2026-03-09T00:00:00"/>
    <s v="C072"/>
    <x v="0"/>
    <x v="2"/>
    <s v="Keyboard"/>
    <n v="1"/>
    <n v="1200"/>
    <n v="0.15"/>
    <n v="750"/>
    <n v="1200"/>
    <n v="180"/>
    <n v="750"/>
    <n v="270"/>
    <n v="0.22500000000000001"/>
    <x v="1"/>
    <x v="3"/>
  </r>
  <r>
    <s v="ORD0324"/>
    <d v="2026-07-19T00:00:00"/>
    <s v="C088"/>
    <x v="3"/>
    <x v="3"/>
    <s v="Bookshelf"/>
    <n v="4"/>
    <n v="3500"/>
    <n v="0"/>
    <n v="2200"/>
    <n v="14000"/>
    <n v="0"/>
    <n v="8800"/>
    <n v="5200"/>
    <n v="0.37142857142857144"/>
    <x v="1"/>
    <x v="5"/>
  </r>
  <r>
    <s v="ORD0325"/>
    <d v="2025-09-05T00:00:00"/>
    <s v="C029"/>
    <x v="0"/>
    <x v="1"/>
    <s v="Stapler"/>
    <n v="8"/>
    <n v="200"/>
    <n v="0.15"/>
    <n v="90"/>
    <n v="1600"/>
    <n v="240"/>
    <n v="720"/>
    <n v="640"/>
    <n v="0.4"/>
    <x v="0"/>
    <x v="0"/>
  </r>
  <r>
    <s v="ORD0326"/>
    <d v="2026-05-21T00:00:00"/>
    <s v="C082"/>
    <x v="1"/>
    <x v="2"/>
    <s v="Mouse"/>
    <n v="6"/>
    <n v="500"/>
    <n v="0.1"/>
    <n v="250"/>
    <n v="3000"/>
    <n v="300"/>
    <n v="1500"/>
    <n v="1200"/>
    <n v="0.4"/>
    <x v="1"/>
    <x v="11"/>
  </r>
  <r>
    <s v="ORD0327"/>
    <d v="2025-04-11T00:00:00"/>
    <s v="C067"/>
    <x v="0"/>
    <x v="0"/>
    <s v="Mouse Pad"/>
    <n v="7"/>
    <n v="250"/>
    <n v="0.15"/>
    <n v="100"/>
    <n v="1750"/>
    <n v="262.5"/>
    <n v="700"/>
    <n v="787.5"/>
    <n v="0.45"/>
    <x v="0"/>
    <x v="8"/>
  </r>
  <r>
    <s v="ORD0328"/>
    <d v="2025-06-29T00:00:00"/>
    <s v="C014"/>
    <x v="1"/>
    <x v="1"/>
    <s v="Stapler"/>
    <n v="6"/>
    <n v="200"/>
    <n v="0.1"/>
    <n v="90"/>
    <n v="1200"/>
    <n v="120"/>
    <n v="540"/>
    <n v="540"/>
    <n v="0.45"/>
    <x v="0"/>
    <x v="2"/>
  </r>
  <r>
    <s v="ORD0329"/>
    <d v="2026-04-02T00:00:00"/>
    <s v="C046"/>
    <x v="3"/>
    <x v="1"/>
    <s v="Stapler"/>
    <n v="3"/>
    <n v="200"/>
    <n v="0"/>
    <n v="90"/>
    <n v="600"/>
    <n v="0"/>
    <n v="270"/>
    <n v="330"/>
    <n v="0.55000000000000004"/>
    <x v="1"/>
    <x v="8"/>
  </r>
  <r>
    <s v="ORD0330"/>
    <d v="2025-03-16T00:00:00"/>
    <s v="C082"/>
    <x v="1"/>
    <x v="0"/>
    <s v="Mouse Pad"/>
    <n v="3"/>
    <n v="250"/>
    <n v="0.15"/>
    <n v="100"/>
    <n v="750"/>
    <n v="112.5"/>
    <n v="300"/>
    <n v="337.5"/>
    <n v="0.45"/>
    <x v="0"/>
    <x v="3"/>
  </r>
  <r>
    <s v="ORD0331"/>
    <d v="2025-06-27T00:00:00"/>
    <s v="C055"/>
    <x v="3"/>
    <x v="3"/>
    <s v="Desk"/>
    <n v="5"/>
    <n v="6000"/>
    <n v="0.1"/>
    <n v="4000"/>
    <n v="30000"/>
    <n v="3000"/>
    <n v="20000"/>
    <n v="7000"/>
    <n v="0.23333333333333334"/>
    <x v="0"/>
    <x v="2"/>
  </r>
  <r>
    <s v="ORD0332"/>
    <d v="2026-02-26T00:00:00"/>
    <s v="C089"/>
    <x v="1"/>
    <x v="0"/>
    <s v="Webcam"/>
    <n v="1"/>
    <n v="2000"/>
    <n v="0.1"/>
    <n v="1200"/>
    <n v="2000"/>
    <n v="200"/>
    <n v="1200"/>
    <n v="600"/>
    <n v="0.3"/>
    <x v="1"/>
    <x v="9"/>
  </r>
  <r>
    <s v="ORD0333"/>
    <d v="2026-09-14T00:00:00"/>
    <s v="C026"/>
    <x v="2"/>
    <x v="2"/>
    <s v="Monitor"/>
    <n v="7"/>
    <n v="9000"/>
    <n v="0.1"/>
    <n v="6500"/>
    <n v="63000"/>
    <n v="6300"/>
    <n v="45500"/>
    <n v="11200"/>
    <n v="0.17777777777777778"/>
    <x v="1"/>
    <x v="0"/>
  </r>
  <r>
    <s v="ORD0334"/>
    <d v="2026-07-30T00:00:00"/>
    <s v="C091"/>
    <x v="0"/>
    <x v="3"/>
    <s v="Office Chair"/>
    <n v="4"/>
    <n v="4500"/>
    <n v="0.05"/>
    <n v="3000"/>
    <n v="18000"/>
    <n v="900"/>
    <n v="12000"/>
    <n v="5100"/>
    <n v="0.28333333333333333"/>
    <x v="1"/>
    <x v="5"/>
  </r>
  <r>
    <s v="ORD0335"/>
    <d v="2025-08-27T00:00:00"/>
    <s v="C034"/>
    <x v="0"/>
    <x v="2"/>
    <s v="Mouse"/>
    <n v="2"/>
    <n v="500"/>
    <n v="0"/>
    <n v="250"/>
    <n v="1000"/>
    <n v="0"/>
    <n v="500"/>
    <n v="500"/>
    <n v="0.5"/>
    <x v="0"/>
    <x v="6"/>
  </r>
  <r>
    <s v="ORD0336"/>
    <d v="2026-04-15T00:00:00"/>
    <s v="C078"/>
    <x v="3"/>
    <x v="1"/>
    <s v="Pen Set"/>
    <n v="1"/>
    <n v="150"/>
    <n v="0.15"/>
    <n v="60"/>
    <n v="150"/>
    <n v="22.5"/>
    <n v="60"/>
    <n v="67.5"/>
    <n v="0.45"/>
    <x v="1"/>
    <x v="8"/>
  </r>
  <r>
    <s v="ORD0337"/>
    <d v="2025-02-27T00:00:00"/>
    <s v="C052"/>
    <x v="2"/>
    <x v="0"/>
    <s v="Laptop Stand"/>
    <n v="2"/>
    <n v="800"/>
    <n v="0.05"/>
    <n v="450"/>
    <n v="1600"/>
    <n v="80"/>
    <n v="900"/>
    <n v="620"/>
    <n v="0.38750000000000001"/>
    <x v="0"/>
    <x v="9"/>
  </r>
  <r>
    <s v="ORD0338"/>
    <d v="2026-06-22T00:00:00"/>
    <s v="C010"/>
    <x v="1"/>
    <x v="1"/>
    <s v="Printer Paper"/>
    <n v="8"/>
    <n v="300"/>
    <n v="0.05"/>
    <n v="180"/>
    <n v="2400"/>
    <n v="120"/>
    <n v="1440"/>
    <n v="840"/>
    <n v="0.35"/>
    <x v="1"/>
    <x v="2"/>
  </r>
  <r>
    <s v="ORD0339"/>
    <d v="2025-11-03T00:00:00"/>
    <s v="C028"/>
    <x v="1"/>
    <x v="0"/>
    <s v="Mouse Pad"/>
    <n v="8"/>
    <n v="250"/>
    <n v="0"/>
    <n v="100"/>
    <n v="2000"/>
    <n v="0"/>
    <n v="800"/>
    <n v="1200"/>
    <n v="0.6"/>
    <x v="0"/>
    <x v="10"/>
  </r>
  <r>
    <s v="ORD0340"/>
    <d v="2025-11-29T00:00:00"/>
    <s v="C095"/>
    <x v="0"/>
    <x v="0"/>
    <s v="USB Hub"/>
    <n v="7"/>
    <n v="700"/>
    <n v="0"/>
    <n v="400"/>
    <n v="4900"/>
    <n v="0"/>
    <n v="2800"/>
    <n v="2100"/>
    <n v="0.42857142857142855"/>
    <x v="0"/>
    <x v="10"/>
  </r>
  <r>
    <s v="ORD0341"/>
    <d v="2025-09-03T00:00:00"/>
    <s v="C015"/>
    <x v="2"/>
    <x v="1"/>
    <s v="Pen Set"/>
    <n v="4"/>
    <n v="150"/>
    <n v="0.05"/>
    <n v="60"/>
    <n v="600"/>
    <n v="30"/>
    <n v="240"/>
    <n v="330"/>
    <n v="0.55000000000000004"/>
    <x v="0"/>
    <x v="0"/>
  </r>
  <r>
    <s v="ORD0342"/>
    <d v="2026-02-26T00:00:00"/>
    <s v="C085"/>
    <x v="2"/>
    <x v="2"/>
    <s v="Monitor"/>
    <n v="4"/>
    <n v="9000"/>
    <n v="0.1"/>
    <n v="6500"/>
    <n v="36000"/>
    <n v="3600"/>
    <n v="26000"/>
    <n v="6400"/>
    <n v="0.17777777777777778"/>
    <x v="1"/>
    <x v="9"/>
  </r>
  <r>
    <s v="ORD0343"/>
    <d v="2025-12-22T00:00:00"/>
    <s v="C098"/>
    <x v="1"/>
    <x v="2"/>
    <s v="Mouse"/>
    <n v="1"/>
    <n v="500"/>
    <n v="0.1"/>
    <n v="250"/>
    <n v="500"/>
    <n v="50"/>
    <n v="250"/>
    <n v="200"/>
    <n v="0.4"/>
    <x v="0"/>
    <x v="4"/>
  </r>
  <r>
    <s v="ORD0344"/>
    <d v="2026-10-13T00:00:00"/>
    <s v="C048"/>
    <x v="2"/>
    <x v="3"/>
    <s v="Desk"/>
    <n v="8"/>
    <n v="6000"/>
    <n v="0"/>
    <n v="4000"/>
    <n v="48000"/>
    <n v="0"/>
    <n v="32000"/>
    <n v="16000"/>
    <n v="0.33333333333333331"/>
    <x v="1"/>
    <x v="7"/>
  </r>
  <r>
    <s v="ORD0345"/>
    <d v="2025-05-14T00:00:00"/>
    <s v="C097"/>
    <x v="3"/>
    <x v="1"/>
    <s v="Stapler"/>
    <n v="2"/>
    <n v="200"/>
    <n v="0"/>
    <n v="90"/>
    <n v="400"/>
    <n v="0"/>
    <n v="180"/>
    <n v="220"/>
    <n v="0.55000000000000004"/>
    <x v="0"/>
    <x v="11"/>
  </r>
  <r>
    <s v="ORD0346"/>
    <d v="2026-11-26T00:00:00"/>
    <s v="C098"/>
    <x v="3"/>
    <x v="2"/>
    <s v="Keyboard"/>
    <n v="5"/>
    <n v="1200"/>
    <n v="0.15"/>
    <n v="750"/>
    <n v="6000"/>
    <n v="900"/>
    <n v="3750"/>
    <n v="1350"/>
    <n v="0.22500000000000001"/>
    <x v="1"/>
    <x v="10"/>
  </r>
  <r>
    <s v="ORD0347"/>
    <d v="2026-05-31T00:00:00"/>
    <s v="C034"/>
    <x v="0"/>
    <x v="3"/>
    <s v="Cabinet"/>
    <n v="5"/>
    <n v="4000"/>
    <n v="0.05"/>
    <n v="2700"/>
    <n v="20000"/>
    <n v="1000"/>
    <n v="13500"/>
    <n v="5500"/>
    <n v="0.27500000000000002"/>
    <x v="1"/>
    <x v="11"/>
  </r>
  <r>
    <s v="ORD0348"/>
    <d v="2026-08-13T00:00:00"/>
    <s v="C022"/>
    <x v="2"/>
    <x v="0"/>
    <s v="Mouse Pad"/>
    <n v="1"/>
    <n v="250"/>
    <n v="0.05"/>
    <n v="100"/>
    <n v="250"/>
    <n v="12.5"/>
    <n v="100"/>
    <n v="137.5"/>
    <n v="0.55000000000000004"/>
    <x v="1"/>
    <x v="6"/>
  </r>
  <r>
    <s v="ORD0349"/>
    <d v="2026-07-05T00:00:00"/>
    <s v="C052"/>
    <x v="1"/>
    <x v="0"/>
    <s v="Webcam"/>
    <n v="2"/>
    <n v="2000"/>
    <n v="0.1"/>
    <n v="1200"/>
    <n v="4000"/>
    <n v="400"/>
    <n v="2400"/>
    <n v="1200"/>
    <n v="0.3"/>
    <x v="1"/>
    <x v="5"/>
  </r>
  <r>
    <s v="ORD0350"/>
    <d v="2026-03-28T00:00:00"/>
    <s v="C083"/>
    <x v="1"/>
    <x v="0"/>
    <s v="USB Hub"/>
    <n v="5"/>
    <n v="700"/>
    <n v="0.15"/>
    <n v="400"/>
    <n v="3500"/>
    <n v="525"/>
    <n v="2000"/>
    <n v="975"/>
    <n v="0.27857142857142858"/>
    <x v="1"/>
    <x v="3"/>
  </r>
  <r>
    <s v="ORD0351"/>
    <d v="2025-09-27T00:00:00"/>
    <s v="C037"/>
    <x v="3"/>
    <x v="3"/>
    <s v="Cabinet"/>
    <n v="8"/>
    <n v="4000"/>
    <n v="0.05"/>
    <n v="2700"/>
    <n v="32000"/>
    <n v="1600"/>
    <n v="21600"/>
    <n v="8800"/>
    <n v="0.27500000000000002"/>
    <x v="0"/>
    <x v="0"/>
  </r>
  <r>
    <s v="ORD0352"/>
    <d v="2025-02-04T00:00:00"/>
    <s v="C073"/>
    <x v="0"/>
    <x v="1"/>
    <s v="Pen Set"/>
    <n v="7"/>
    <n v="150"/>
    <n v="0.05"/>
    <n v="60"/>
    <n v="1050"/>
    <n v="52.5"/>
    <n v="420"/>
    <n v="577.5"/>
    <n v="0.55000000000000004"/>
    <x v="0"/>
    <x v="9"/>
  </r>
  <r>
    <s v="ORD0353"/>
    <d v="2025-04-09T00:00:00"/>
    <s v="C088"/>
    <x v="3"/>
    <x v="3"/>
    <s v="Bookshelf"/>
    <n v="8"/>
    <n v="3500"/>
    <n v="0.05"/>
    <n v="2200"/>
    <n v="28000"/>
    <n v="1400"/>
    <n v="17600"/>
    <n v="9000"/>
    <n v="0.32142857142857145"/>
    <x v="0"/>
    <x v="8"/>
  </r>
  <r>
    <s v="ORD0354"/>
    <d v="2025-03-25T00:00:00"/>
    <s v="C064"/>
    <x v="2"/>
    <x v="3"/>
    <s v="Bookshelf"/>
    <n v="5"/>
    <n v="3500"/>
    <n v="0.05"/>
    <n v="2200"/>
    <n v="17500"/>
    <n v="875"/>
    <n v="11000"/>
    <n v="5625"/>
    <n v="0.32142857142857145"/>
    <x v="0"/>
    <x v="3"/>
  </r>
  <r>
    <s v="ORD0355"/>
    <d v="2026-12-20T00:00:00"/>
    <s v="C026"/>
    <x v="3"/>
    <x v="1"/>
    <s v="Printer Paper"/>
    <n v="3"/>
    <n v="300"/>
    <n v="0.05"/>
    <n v="180"/>
    <n v="900"/>
    <n v="45"/>
    <n v="540"/>
    <n v="315"/>
    <n v="0.35"/>
    <x v="1"/>
    <x v="4"/>
  </r>
  <r>
    <s v="ORD0356"/>
    <d v="2025-10-20T00:00:00"/>
    <s v="C062"/>
    <x v="1"/>
    <x v="3"/>
    <s v="Desk"/>
    <n v="5"/>
    <n v="6000"/>
    <n v="0"/>
    <n v="4000"/>
    <n v="30000"/>
    <n v="0"/>
    <n v="20000"/>
    <n v="10000"/>
    <n v="0.33333333333333331"/>
    <x v="0"/>
    <x v="7"/>
  </r>
  <r>
    <s v="ORD0357"/>
    <d v="2025-02-21T00:00:00"/>
    <s v="C018"/>
    <x v="1"/>
    <x v="3"/>
    <s v="Office Chair"/>
    <n v="6"/>
    <n v="4500"/>
    <n v="0.15"/>
    <n v="3000"/>
    <n v="27000"/>
    <n v="4050"/>
    <n v="18000"/>
    <n v="4950"/>
    <n v="0.18333333333333332"/>
    <x v="0"/>
    <x v="9"/>
  </r>
  <r>
    <s v="ORD0358"/>
    <d v="2025-10-15T00:00:00"/>
    <s v="C017"/>
    <x v="2"/>
    <x v="0"/>
    <s v="Laptop Stand"/>
    <n v="3"/>
    <n v="800"/>
    <n v="0.05"/>
    <n v="450"/>
    <n v="2400"/>
    <n v="120"/>
    <n v="1350"/>
    <n v="930"/>
    <n v="0.38750000000000001"/>
    <x v="0"/>
    <x v="7"/>
  </r>
  <r>
    <s v="ORD0359"/>
    <d v="2026-07-04T00:00:00"/>
    <s v="C049"/>
    <x v="3"/>
    <x v="0"/>
    <s v="Mouse Pad"/>
    <n v="8"/>
    <n v="250"/>
    <n v="0.15"/>
    <n v="100"/>
    <n v="2000"/>
    <n v="300"/>
    <n v="800"/>
    <n v="900"/>
    <n v="0.45"/>
    <x v="1"/>
    <x v="5"/>
  </r>
  <r>
    <s v="ORD0360"/>
    <d v="2026-04-09T00:00:00"/>
    <s v="C067"/>
    <x v="3"/>
    <x v="3"/>
    <s v="Office Chair"/>
    <n v="8"/>
    <n v="4500"/>
    <n v="0.15"/>
    <n v="3000"/>
    <n v="36000"/>
    <n v="5400"/>
    <n v="24000"/>
    <n v="6600"/>
    <n v="0.18333333333333332"/>
    <x v="1"/>
    <x v="8"/>
  </r>
  <r>
    <s v="ORD0361"/>
    <d v="2026-03-28T00:00:00"/>
    <s v="C056"/>
    <x v="3"/>
    <x v="3"/>
    <s v="Desk"/>
    <n v="5"/>
    <n v="6000"/>
    <n v="0.1"/>
    <n v="4000"/>
    <n v="30000"/>
    <n v="3000"/>
    <n v="20000"/>
    <n v="7000"/>
    <n v="0.23333333333333334"/>
    <x v="1"/>
    <x v="3"/>
  </r>
  <r>
    <s v="ORD0362"/>
    <d v="2026-04-14T00:00:00"/>
    <s v="C091"/>
    <x v="3"/>
    <x v="0"/>
    <s v="Mouse Pad"/>
    <n v="8"/>
    <n v="250"/>
    <n v="0"/>
    <n v="100"/>
    <n v="2000"/>
    <n v="0"/>
    <n v="800"/>
    <n v="1200"/>
    <n v="0.6"/>
    <x v="1"/>
    <x v="8"/>
  </r>
  <r>
    <s v="ORD0363"/>
    <d v="2025-06-10T00:00:00"/>
    <s v="C035"/>
    <x v="3"/>
    <x v="0"/>
    <s v="USB Hub"/>
    <n v="6"/>
    <n v="700"/>
    <n v="0"/>
    <n v="400"/>
    <n v="4200"/>
    <n v="0"/>
    <n v="2400"/>
    <n v="1800"/>
    <n v="0.42857142857142855"/>
    <x v="0"/>
    <x v="2"/>
  </r>
  <r>
    <s v="ORD0364"/>
    <d v="2026-01-26T00:00:00"/>
    <s v="C037"/>
    <x v="3"/>
    <x v="0"/>
    <s v="Mouse Pad"/>
    <n v="1"/>
    <n v="250"/>
    <n v="0.05"/>
    <n v="100"/>
    <n v="250"/>
    <n v="12.5"/>
    <n v="100"/>
    <n v="137.5"/>
    <n v="0.55000000000000004"/>
    <x v="1"/>
    <x v="1"/>
  </r>
  <r>
    <s v="ORD0365"/>
    <d v="2026-10-24T00:00:00"/>
    <s v="C062"/>
    <x v="0"/>
    <x v="2"/>
    <s v="Mouse"/>
    <n v="3"/>
    <n v="500"/>
    <n v="0.15"/>
    <n v="250"/>
    <n v="1500"/>
    <n v="225"/>
    <n v="750"/>
    <n v="525"/>
    <n v="0.35"/>
    <x v="1"/>
    <x v="7"/>
  </r>
  <r>
    <s v="ORD0366"/>
    <d v="2025-07-14T00:00:00"/>
    <s v="C042"/>
    <x v="2"/>
    <x v="3"/>
    <s v="Desk"/>
    <n v="5"/>
    <n v="6000"/>
    <n v="0.15"/>
    <n v="4000"/>
    <n v="30000"/>
    <n v="4500"/>
    <n v="20000"/>
    <n v="5500"/>
    <n v="0.18333333333333332"/>
    <x v="0"/>
    <x v="5"/>
  </r>
  <r>
    <s v="ORD0367"/>
    <d v="2026-08-02T00:00:00"/>
    <s v="C039"/>
    <x v="2"/>
    <x v="1"/>
    <s v="Pen Set"/>
    <n v="7"/>
    <n v="150"/>
    <n v="0.05"/>
    <n v="60"/>
    <n v="1050"/>
    <n v="52.5"/>
    <n v="420"/>
    <n v="577.5"/>
    <n v="0.55000000000000004"/>
    <x v="1"/>
    <x v="6"/>
  </r>
  <r>
    <s v="ORD0368"/>
    <d v="2025-10-10T00:00:00"/>
    <s v="C086"/>
    <x v="3"/>
    <x v="3"/>
    <s v="Cabinet"/>
    <n v="1"/>
    <n v="4000"/>
    <n v="0.15"/>
    <n v="2700"/>
    <n v="4000"/>
    <n v="600"/>
    <n v="2700"/>
    <n v="700"/>
    <n v="0.17499999999999999"/>
    <x v="0"/>
    <x v="7"/>
  </r>
  <r>
    <s v="ORD0369"/>
    <d v="2026-10-20T00:00:00"/>
    <s v="C055"/>
    <x v="3"/>
    <x v="0"/>
    <s v="Mouse Pad"/>
    <n v="6"/>
    <n v="250"/>
    <n v="0"/>
    <n v="100"/>
    <n v="1500"/>
    <n v="0"/>
    <n v="600"/>
    <n v="900"/>
    <n v="0.6"/>
    <x v="1"/>
    <x v="7"/>
  </r>
  <r>
    <s v="ORD0370"/>
    <d v="2026-06-05T00:00:00"/>
    <s v="C071"/>
    <x v="3"/>
    <x v="3"/>
    <s v="Desk"/>
    <n v="6"/>
    <n v="6000"/>
    <n v="0.05"/>
    <n v="4000"/>
    <n v="36000"/>
    <n v="1800"/>
    <n v="24000"/>
    <n v="10200"/>
    <n v="0.28333333333333333"/>
    <x v="1"/>
    <x v="2"/>
  </r>
  <r>
    <s v="ORD0371"/>
    <d v="2025-09-08T00:00:00"/>
    <s v="C024"/>
    <x v="2"/>
    <x v="1"/>
    <s v="Printer Paper"/>
    <n v="2"/>
    <n v="300"/>
    <n v="0.15"/>
    <n v="180"/>
    <n v="600"/>
    <n v="90"/>
    <n v="360"/>
    <n v="150"/>
    <n v="0.25"/>
    <x v="0"/>
    <x v="0"/>
  </r>
  <r>
    <s v="ORD0372"/>
    <d v="2026-11-24T00:00:00"/>
    <s v="C034"/>
    <x v="1"/>
    <x v="0"/>
    <s v="Mouse Pad"/>
    <n v="1"/>
    <n v="250"/>
    <n v="0.05"/>
    <n v="100"/>
    <n v="250"/>
    <n v="12.5"/>
    <n v="100"/>
    <n v="137.5"/>
    <n v="0.55000000000000004"/>
    <x v="1"/>
    <x v="10"/>
  </r>
  <r>
    <s v="ORD0373"/>
    <d v="2026-02-17T00:00:00"/>
    <s v="C041"/>
    <x v="1"/>
    <x v="1"/>
    <s v="Stapler"/>
    <n v="5"/>
    <n v="200"/>
    <n v="0.1"/>
    <n v="90"/>
    <n v="1000"/>
    <n v="100"/>
    <n v="450"/>
    <n v="450"/>
    <n v="0.45"/>
    <x v="1"/>
    <x v="9"/>
  </r>
  <r>
    <s v="ORD0374"/>
    <d v="2025-04-18T00:00:00"/>
    <s v="C001"/>
    <x v="2"/>
    <x v="3"/>
    <s v="Cabinet"/>
    <n v="4"/>
    <n v="4000"/>
    <n v="0.15"/>
    <n v="2700"/>
    <n v="16000"/>
    <n v="2400"/>
    <n v="10800"/>
    <n v="2800"/>
    <n v="0.17499999999999999"/>
    <x v="0"/>
    <x v="8"/>
  </r>
  <r>
    <s v="ORD0375"/>
    <d v="2026-03-22T00:00:00"/>
    <s v="C077"/>
    <x v="2"/>
    <x v="2"/>
    <s v="Mouse"/>
    <n v="1"/>
    <n v="500"/>
    <n v="0.05"/>
    <n v="250"/>
    <n v="500"/>
    <n v="25"/>
    <n v="250"/>
    <n v="225"/>
    <n v="0.45"/>
    <x v="1"/>
    <x v="3"/>
  </r>
  <r>
    <s v="ORD0376"/>
    <d v="2025-03-12T00:00:00"/>
    <s v="C022"/>
    <x v="3"/>
    <x v="1"/>
    <s v="Notebook"/>
    <n v="5"/>
    <n v="100"/>
    <n v="0.15"/>
    <n v="40"/>
    <n v="500"/>
    <n v="75"/>
    <n v="200"/>
    <n v="225"/>
    <n v="0.45"/>
    <x v="0"/>
    <x v="3"/>
  </r>
  <r>
    <s v="ORD0377"/>
    <d v="2026-01-01T00:00:00"/>
    <s v="C044"/>
    <x v="2"/>
    <x v="2"/>
    <s v="Keyboard"/>
    <n v="7"/>
    <n v="1200"/>
    <n v="0.15"/>
    <n v="750"/>
    <n v="8400"/>
    <n v="1260"/>
    <n v="5250"/>
    <n v="1890"/>
    <n v="0.22500000000000001"/>
    <x v="1"/>
    <x v="1"/>
  </r>
  <r>
    <s v="ORD0378"/>
    <d v="2026-11-20T00:00:00"/>
    <s v="C006"/>
    <x v="3"/>
    <x v="2"/>
    <s v="Mouse"/>
    <n v="6"/>
    <n v="500"/>
    <n v="0.05"/>
    <n v="250"/>
    <n v="3000"/>
    <n v="150"/>
    <n v="1500"/>
    <n v="1350"/>
    <n v="0.45"/>
    <x v="1"/>
    <x v="10"/>
  </r>
  <r>
    <s v="ORD0379"/>
    <d v="2026-07-01T00:00:00"/>
    <s v="C064"/>
    <x v="0"/>
    <x v="2"/>
    <s v="Keyboard"/>
    <n v="2"/>
    <n v="1200"/>
    <n v="0.1"/>
    <n v="750"/>
    <n v="2400"/>
    <n v="240"/>
    <n v="1500"/>
    <n v="660"/>
    <n v="0.27500000000000002"/>
    <x v="1"/>
    <x v="5"/>
  </r>
  <r>
    <s v="ORD0380"/>
    <d v="2026-07-19T00:00:00"/>
    <s v="C009"/>
    <x v="3"/>
    <x v="0"/>
    <s v="USB Hub"/>
    <n v="6"/>
    <n v="700"/>
    <n v="0.15"/>
    <n v="400"/>
    <n v="4200"/>
    <n v="630"/>
    <n v="2400"/>
    <n v="1170"/>
    <n v="0.27857142857142858"/>
    <x v="1"/>
    <x v="5"/>
  </r>
  <r>
    <s v="ORD0381"/>
    <d v="2026-04-12T00:00:00"/>
    <s v="C094"/>
    <x v="2"/>
    <x v="0"/>
    <s v="Webcam"/>
    <n v="8"/>
    <n v="2000"/>
    <n v="0.1"/>
    <n v="1200"/>
    <n v="16000"/>
    <n v="1600"/>
    <n v="9600"/>
    <n v="4800"/>
    <n v="0.3"/>
    <x v="1"/>
    <x v="8"/>
  </r>
  <r>
    <s v="ORD0382"/>
    <d v="2025-03-04T00:00:00"/>
    <s v="C040"/>
    <x v="0"/>
    <x v="1"/>
    <s v="Notebook"/>
    <n v="2"/>
    <n v="100"/>
    <n v="0.05"/>
    <n v="40"/>
    <n v="200"/>
    <n v="10"/>
    <n v="80"/>
    <n v="110"/>
    <n v="0.55000000000000004"/>
    <x v="0"/>
    <x v="3"/>
  </r>
  <r>
    <s v="ORD0383"/>
    <d v="2025-05-26T00:00:00"/>
    <s v="C076"/>
    <x v="0"/>
    <x v="0"/>
    <s v="USB Hub"/>
    <n v="8"/>
    <n v="700"/>
    <n v="0"/>
    <n v="400"/>
    <n v="5600"/>
    <n v="0"/>
    <n v="3200"/>
    <n v="2400"/>
    <n v="0.42857142857142855"/>
    <x v="0"/>
    <x v="11"/>
  </r>
  <r>
    <s v="ORD0384"/>
    <d v="2026-06-04T00:00:00"/>
    <s v="C019"/>
    <x v="3"/>
    <x v="1"/>
    <s v="Stapler"/>
    <n v="1"/>
    <n v="200"/>
    <n v="0.1"/>
    <n v="90"/>
    <n v="200"/>
    <n v="20"/>
    <n v="90"/>
    <n v="90"/>
    <n v="0.45"/>
    <x v="1"/>
    <x v="2"/>
  </r>
  <r>
    <s v="ORD0385"/>
    <d v="2026-04-12T00:00:00"/>
    <s v="C016"/>
    <x v="0"/>
    <x v="3"/>
    <s v="Bookshelf"/>
    <n v="5"/>
    <n v="3500"/>
    <n v="0.15"/>
    <n v="2200"/>
    <n v="17500"/>
    <n v="2625"/>
    <n v="11000"/>
    <n v="3875"/>
    <n v="0.22142857142857142"/>
    <x v="1"/>
    <x v="8"/>
  </r>
  <r>
    <s v="ORD0386"/>
    <d v="2026-01-08T00:00:00"/>
    <s v="C092"/>
    <x v="1"/>
    <x v="0"/>
    <s v="Webcam"/>
    <n v="1"/>
    <n v="2000"/>
    <n v="0.15"/>
    <n v="1200"/>
    <n v="2000"/>
    <n v="300"/>
    <n v="1200"/>
    <n v="500"/>
    <n v="0.25"/>
    <x v="1"/>
    <x v="1"/>
  </r>
  <r>
    <s v="ORD0387"/>
    <d v="2026-08-25T00:00:00"/>
    <s v="C016"/>
    <x v="1"/>
    <x v="3"/>
    <s v="Cabinet"/>
    <n v="8"/>
    <n v="4000"/>
    <n v="0.1"/>
    <n v="2700"/>
    <n v="32000"/>
    <n v="3200"/>
    <n v="21600"/>
    <n v="7200"/>
    <n v="0.22500000000000001"/>
    <x v="1"/>
    <x v="6"/>
  </r>
  <r>
    <s v="ORD0388"/>
    <d v="2025-01-02T00:00:00"/>
    <s v="C044"/>
    <x v="0"/>
    <x v="1"/>
    <s v="Stapler"/>
    <n v="1"/>
    <n v="200"/>
    <n v="0.15"/>
    <n v="90"/>
    <n v="200"/>
    <n v="30"/>
    <n v="90"/>
    <n v="80"/>
    <n v="0.4"/>
    <x v="0"/>
    <x v="1"/>
  </r>
  <r>
    <s v="ORD0389"/>
    <d v="2026-08-29T00:00:00"/>
    <s v="C096"/>
    <x v="2"/>
    <x v="0"/>
    <s v="Mouse Pad"/>
    <n v="2"/>
    <n v="250"/>
    <n v="0"/>
    <n v="100"/>
    <n v="500"/>
    <n v="0"/>
    <n v="200"/>
    <n v="300"/>
    <n v="0.6"/>
    <x v="1"/>
    <x v="6"/>
  </r>
  <r>
    <s v="ORD0390"/>
    <d v="2026-04-27T00:00:00"/>
    <s v="C092"/>
    <x v="1"/>
    <x v="2"/>
    <s v="Monitor"/>
    <n v="8"/>
    <n v="9000"/>
    <n v="0.15"/>
    <n v="6500"/>
    <n v="72000"/>
    <n v="10800"/>
    <n v="52000"/>
    <n v="9200"/>
    <n v="0.12777777777777777"/>
    <x v="1"/>
    <x v="8"/>
  </r>
  <r>
    <s v="ORD0391"/>
    <d v="2026-11-24T00:00:00"/>
    <s v="C095"/>
    <x v="0"/>
    <x v="0"/>
    <s v="USB Hub"/>
    <n v="1"/>
    <n v="700"/>
    <n v="0.05"/>
    <n v="400"/>
    <n v="700"/>
    <n v="35"/>
    <n v="400"/>
    <n v="265"/>
    <n v="0.37857142857142856"/>
    <x v="1"/>
    <x v="10"/>
  </r>
  <r>
    <s v="ORD0392"/>
    <d v="2026-12-17T00:00:00"/>
    <s v="C032"/>
    <x v="2"/>
    <x v="1"/>
    <s v="Stapler"/>
    <n v="8"/>
    <n v="200"/>
    <n v="0.1"/>
    <n v="90"/>
    <n v="1600"/>
    <n v="160"/>
    <n v="720"/>
    <n v="720"/>
    <n v="0.45"/>
    <x v="1"/>
    <x v="4"/>
  </r>
  <r>
    <s v="ORD0393"/>
    <d v="2025-03-11T00:00:00"/>
    <s v="C003"/>
    <x v="1"/>
    <x v="1"/>
    <s v="Printer Paper"/>
    <n v="2"/>
    <n v="300"/>
    <n v="0"/>
    <n v="180"/>
    <n v="600"/>
    <n v="0"/>
    <n v="360"/>
    <n v="240"/>
    <n v="0.4"/>
    <x v="0"/>
    <x v="3"/>
  </r>
  <r>
    <s v="ORD0394"/>
    <d v="2025-04-27T00:00:00"/>
    <s v="C032"/>
    <x v="0"/>
    <x v="0"/>
    <s v="Webcam"/>
    <n v="4"/>
    <n v="2000"/>
    <n v="0.1"/>
    <n v="1200"/>
    <n v="8000"/>
    <n v="800"/>
    <n v="4800"/>
    <n v="2400"/>
    <n v="0.3"/>
    <x v="0"/>
    <x v="8"/>
  </r>
  <r>
    <s v="ORD0395"/>
    <d v="2026-11-20T00:00:00"/>
    <s v="C001"/>
    <x v="2"/>
    <x v="1"/>
    <s v="Notebook"/>
    <n v="2"/>
    <n v="100"/>
    <n v="0.05"/>
    <n v="40"/>
    <n v="200"/>
    <n v="10"/>
    <n v="80"/>
    <n v="110"/>
    <n v="0.55000000000000004"/>
    <x v="1"/>
    <x v="10"/>
  </r>
  <r>
    <s v="ORD0396"/>
    <d v="2025-03-18T00:00:00"/>
    <s v="C094"/>
    <x v="1"/>
    <x v="3"/>
    <s v="Office Chair"/>
    <n v="2"/>
    <n v="4500"/>
    <n v="0.05"/>
    <n v="3000"/>
    <n v="9000"/>
    <n v="450"/>
    <n v="6000"/>
    <n v="2550"/>
    <n v="0.28333333333333333"/>
    <x v="0"/>
    <x v="3"/>
  </r>
  <r>
    <s v="ORD0397"/>
    <d v="2025-10-29T00:00:00"/>
    <s v="C013"/>
    <x v="3"/>
    <x v="3"/>
    <s v="Desk"/>
    <n v="6"/>
    <n v="6000"/>
    <n v="0.05"/>
    <n v="4000"/>
    <n v="36000"/>
    <n v="1800"/>
    <n v="24000"/>
    <n v="10200"/>
    <n v="0.28333333333333333"/>
    <x v="0"/>
    <x v="7"/>
  </r>
  <r>
    <s v="ORD0398"/>
    <d v="2025-11-22T00:00:00"/>
    <s v="C096"/>
    <x v="3"/>
    <x v="2"/>
    <s v="Keyboard"/>
    <n v="3"/>
    <n v="1200"/>
    <n v="0"/>
    <n v="750"/>
    <n v="3600"/>
    <n v="0"/>
    <n v="2250"/>
    <n v="1350"/>
    <n v="0.375"/>
    <x v="0"/>
    <x v="10"/>
  </r>
  <r>
    <s v="ORD0399"/>
    <d v="2025-08-23T00:00:00"/>
    <s v="C014"/>
    <x v="2"/>
    <x v="2"/>
    <s v="Keyboard"/>
    <n v="7"/>
    <n v="1200"/>
    <n v="0.05"/>
    <n v="750"/>
    <n v="8400"/>
    <n v="420"/>
    <n v="5250"/>
    <n v="2730"/>
    <n v="0.32500000000000001"/>
    <x v="0"/>
    <x v="6"/>
  </r>
  <r>
    <s v="ORD0400"/>
    <d v="2025-02-17T00:00:00"/>
    <s v="C031"/>
    <x v="0"/>
    <x v="1"/>
    <s v="Printer Paper"/>
    <n v="8"/>
    <n v="300"/>
    <n v="0.15"/>
    <n v="180"/>
    <n v="2400"/>
    <n v="360"/>
    <n v="1440"/>
    <n v="600"/>
    <n v="0.25"/>
    <x v="0"/>
    <x v="9"/>
  </r>
  <r>
    <s v="ORD0401"/>
    <d v="2026-07-22T00:00:00"/>
    <s v="C063"/>
    <x v="3"/>
    <x v="1"/>
    <s v="Printer Paper"/>
    <n v="2"/>
    <n v="300"/>
    <n v="0.05"/>
    <n v="180"/>
    <n v="600"/>
    <n v="30"/>
    <n v="360"/>
    <n v="210"/>
    <n v="0.35"/>
    <x v="1"/>
    <x v="5"/>
  </r>
  <r>
    <s v="ORD0402"/>
    <d v="2026-02-20T00:00:00"/>
    <s v="C045"/>
    <x v="1"/>
    <x v="0"/>
    <s v="Webcam"/>
    <n v="7"/>
    <n v="2000"/>
    <n v="0.1"/>
    <n v="1200"/>
    <n v="14000"/>
    <n v="1400"/>
    <n v="8400"/>
    <n v="4200"/>
    <n v="0.3"/>
    <x v="1"/>
    <x v="9"/>
  </r>
  <r>
    <s v="ORD0403"/>
    <d v="2026-11-10T00:00:00"/>
    <s v="C061"/>
    <x v="3"/>
    <x v="0"/>
    <s v="Webcam"/>
    <n v="1"/>
    <n v="2000"/>
    <n v="0"/>
    <n v="1200"/>
    <n v="2000"/>
    <n v="0"/>
    <n v="1200"/>
    <n v="800"/>
    <n v="0.4"/>
    <x v="1"/>
    <x v="10"/>
  </r>
  <r>
    <s v="ORD0404"/>
    <d v="2025-01-10T00:00:00"/>
    <s v="C042"/>
    <x v="0"/>
    <x v="1"/>
    <s v="Pen Set"/>
    <n v="2"/>
    <n v="150"/>
    <n v="0"/>
    <n v="60"/>
    <n v="300"/>
    <n v="0"/>
    <n v="120"/>
    <n v="180"/>
    <n v="0.6"/>
    <x v="0"/>
    <x v="1"/>
  </r>
  <r>
    <s v="ORD0405"/>
    <d v="2025-04-14T00:00:00"/>
    <s v="C023"/>
    <x v="2"/>
    <x v="1"/>
    <s v="Printer Paper"/>
    <n v="7"/>
    <n v="300"/>
    <n v="0"/>
    <n v="180"/>
    <n v="2100"/>
    <n v="0"/>
    <n v="1260"/>
    <n v="840"/>
    <n v="0.4"/>
    <x v="0"/>
    <x v="8"/>
  </r>
  <r>
    <s v="ORD0406"/>
    <d v="2026-09-29T00:00:00"/>
    <s v="C045"/>
    <x v="1"/>
    <x v="3"/>
    <s v="Cabinet"/>
    <n v="5"/>
    <n v="4000"/>
    <n v="0.05"/>
    <n v="2700"/>
    <n v="20000"/>
    <n v="1000"/>
    <n v="13500"/>
    <n v="5500"/>
    <n v="0.27500000000000002"/>
    <x v="1"/>
    <x v="0"/>
  </r>
  <r>
    <s v="ORD0407"/>
    <d v="2025-03-31T00:00:00"/>
    <s v="C057"/>
    <x v="3"/>
    <x v="2"/>
    <s v="Keyboard"/>
    <n v="8"/>
    <n v="1200"/>
    <n v="0.1"/>
    <n v="750"/>
    <n v="9600"/>
    <n v="960"/>
    <n v="6000"/>
    <n v="2640"/>
    <n v="0.27500000000000002"/>
    <x v="0"/>
    <x v="3"/>
  </r>
  <r>
    <s v="ORD0408"/>
    <d v="2026-05-15T00:00:00"/>
    <s v="C097"/>
    <x v="3"/>
    <x v="0"/>
    <s v="USB Hub"/>
    <n v="1"/>
    <n v="700"/>
    <n v="0"/>
    <n v="400"/>
    <n v="700"/>
    <n v="0"/>
    <n v="400"/>
    <n v="300"/>
    <n v="0.42857142857142855"/>
    <x v="1"/>
    <x v="11"/>
  </r>
  <r>
    <s v="ORD0409"/>
    <d v="2026-11-29T00:00:00"/>
    <s v="C085"/>
    <x v="2"/>
    <x v="3"/>
    <s v="Bookshelf"/>
    <n v="7"/>
    <n v="3500"/>
    <n v="0.05"/>
    <n v="2200"/>
    <n v="24500"/>
    <n v="1225"/>
    <n v="15400"/>
    <n v="7875"/>
    <n v="0.32142857142857145"/>
    <x v="1"/>
    <x v="10"/>
  </r>
  <r>
    <s v="ORD0410"/>
    <d v="2026-01-21T00:00:00"/>
    <s v="C080"/>
    <x v="1"/>
    <x v="3"/>
    <s v="Desk"/>
    <n v="8"/>
    <n v="6000"/>
    <n v="0.15"/>
    <n v="4000"/>
    <n v="48000"/>
    <n v="7200"/>
    <n v="32000"/>
    <n v="8800"/>
    <n v="0.18333333333333332"/>
    <x v="1"/>
    <x v="1"/>
  </r>
  <r>
    <s v="ORD0411"/>
    <d v="2026-11-06T00:00:00"/>
    <s v="C047"/>
    <x v="2"/>
    <x v="0"/>
    <s v="USB Hub"/>
    <n v="8"/>
    <n v="700"/>
    <n v="0"/>
    <n v="400"/>
    <n v="5600"/>
    <n v="0"/>
    <n v="3200"/>
    <n v="2400"/>
    <n v="0.42857142857142855"/>
    <x v="1"/>
    <x v="10"/>
  </r>
  <r>
    <s v="ORD0412"/>
    <d v="2025-06-23T00:00:00"/>
    <s v="C002"/>
    <x v="1"/>
    <x v="0"/>
    <s v="Laptop Stand"/>
    <n v="7"/>
    <n v="800"/>
    <n v="0.05"/>
    <n v="450"/>
    <n v="5600"/>
    <n v="280"/>
    <n v="3150"/>
    <n v="2170"/>
    <n v="0.38750000000000001"/>
    <x v="0"/>
    <x v="2"/>
  </r>
  <r>
    <s v="ORD0413"/>
    <d v="2026-06-18T00:00:00"/>
    <s v="C059"/>
    <x v="3"/>
    <x v="0"/>
    <s v="Laptop Stand"/>
    <n v="8"/>
    <n v="800"/>
    <n v="0.05"/>
    <n v="450"/>
    <n v="6400"/>
    <n v="320"/>
    <n v="3600"/>
    <n v="2480"/>
    <n v="0.38750000000000001"/>
    <x v="1"/>
    <x v="2"/>
  </r>
  <r>
    <s v="ORD0414"/>
    <d v="2026-04-08T00:00:00"/>
    <s v="C100"/>
    <x v="1"/>
    <x v="3"/>
    <s v="Office Chair"/>
    <n v="6"/>
    <n v="4500"/>
    <n v="0.05"/>
    <n v="3000"/>
    <n v="27000"/>
    <n v="1350"/>
    <n v="18000"/>
    <n v="7650"/>
    <n v="0.28333333333333333"/>
    <x v="1"/>
    <x v="8"/>
  </r>
  <r>
    <s v="ORD0415"/>
    <d v="2025-11-13T00:00:00"/>
    <s v="C056"/>
    <x v="2"/>
    <x v="3"/>
    <s v="Bookshelf"/>
    <n v="5"/>
    <n v="3500"/>
    <n v="0"/>
    <n v="2200"/>
    <n v="17500"/>
    <n v="0"/>
    <n v="11000"/>
    <n v="6500"/>
    <n v="0.37142857142857144"/>
    <x v="0"/>
    <x v="10"/>
  </r>
  <r>
    <s v="ORD0416"/>
    <d v="2025-10-29T00:00:00"/>
    <s v="C059"/>
    <x v="0"/>
    <x v="1"/>
    <s v="Stapler"/>
    <n v="5"/>
    <n v="200"/>
    <n v="0.05"/>
    <n v="90"/>
    <n v="1000"/>
    <n v="50"/>
    <n v="450"/>
    <n v="500"/>
    <n v="0.5"/>
    <x v="0"/>
    <x v="7"/>
  </r>
  <r>
    <s v="ORD0417"/>
    <d v="2025-03-27T00:00:00"/>
    <s v="C040"/>
    <x v="3"/>
    <x v="2"/>
    <s v="Monitor"/>
    <n v="2"/>
    <n v="9000"/>
    <n v="0.05"/>
    <n v="6500"/>
    <n v="18000"/>
    <n v="900"/>
    <n v="13000"/>
    <n v="4100"/>
    <n v="0.22777777777777777"/>
    <x v="0"/>
    <x v="3"/>
  </r>
  <r>
    <s v="ORD0418"/>
    <d v="2025-09-19T00:00:00"/>
    <s v="C086"/>
    <x v="3"/>
    <x v="0"/>
    <s v="Mouse Pad"/>
    <n v="7"/>
    <n v="250"/>
    <n v="0.15"/>
    <n v="100"/>
    <n v="1750"/>
    <n v="262.5"/>
    <n v="700"/>
    <n v="787.5"/>
    <n v="0.45"/>
    <x v="0"/>
    <x v="0"/>
  </r>
  <r>
    <s v="ORD0419"/>
    <d v="2025-08-02T00:00:00"/>
    <s v="C018"/>
    <x v="2"/>
    <x v="1"/>
    <s v="Pen Set"/>
    <n v="2"/>
    <n v="150"/>
    <n v="0"/>
    <n v="60"/>
    <n v="300"/>
    <n v="0"/>
    <n v="120"/>
    <n v="180"/>
    <n v="0.6"/>
    <x v="0"/>
    <x v="6"/>
  </r>
  <r>
    <s v="ORD0420"/>
    <d v="2026-09-24T00:00:00"/>
    <s v="C066"/>
    <x v="0"/>
    <x v="2"/>
    <s v="Headphones"/>
    <n v="7"/>
    <n v="1500"/>
    <n v="0.05"/>
    <n v="900"/>
    <n v="10500"/>
    <n v="525"/>
    <n v="6300"/>
    <n v="3675"/>
    <n v="0.35"/>
    <x v="1"/>
    <x v="0"/>
  </r>
  <r>
    <s v="ORD0421"/>
    <d v="2026-07-20T00:00:00"/>
    <s v="C059"/>
    <x v="3"/>
    <x v="0"/>
    <s v="Laptop Stand"/>
    <n v="3"/>
    <n v="800"/>
    <n v="0.05"/>
    <n v="450"/>
    <n v="2400"/>
    <n v="120"/>
    <n v="1350"/>
    <n v="930"/>
    <n v="0.38750000000000001"/>
    <x v="1"/>
    <x v="5"/>
  </r>
  <r>
    <s v="ORD0422"/>
    <d v="2026-06-21T00:00:00"/>
    <s v="C071"/>
    <x v="0"/>
    <x v="3"/>
    <s v="Bookshelf"/>
    <n v="6"/>
    <n v="3500"/>
    <n v="0.1"/>
    <n v="2200"/>
    <n v="21000"/>
    <n v="2100"/>
    <n v="13200"/>
    <n v="5700"/>
    <n v="0.27142857142857141"/>
    <x v="1"/>
    <x v="2"/>
  </r>
  <r>
    <s v="ORD0423"/>
    <d v="2025-07-04T00:00:00"/>
    <s v="C005"/>
    <x v="2"/>
    <x v="0"/>
    <s v="Webcam"/>
    <n v="1"/>
    <n v="2000"/>
    <n v="0.05"/>
    <n v="1200"/>
    <n v="2000"/>
    <n v="100"/>
    <n v="1200"/>
    <n v="700"/>
    <n v="0.35"/>
    <x v="0"/>
    <x v="5"/>
  </r>
  <r>
    <s v="ORD0424"/>
    <d v="2025-02-23T00:00:00"/>
    <s v="C061"/>
    <x v="1"/>
    <x v="0"/>
    <s v="USB Hub"/>
    <n v="1"/>
    <n v="700"/>
    <n v="0"/>
    <n v="400"/>
    <n v="700"/>
    <n v="0"/>
    <n v="400"/>
    <n v="300"/>
    <n v="0.42857142857142855"/>
    <x v="0"/>
    <x v="9"/>
  </r>
  <r>
    <s v="ORD0425"/>
    <d v="2025-07-27T00:00:00"/>
    <s v="C078"/>
    <x v="3"/>
    <x v="1"/>
    <s v="Stapler"/>
    <n v="3"/>
    <n v="200"/>
    <n v="0.15"/>
    <n v="90"/>
    <n v="600"/>
    <n v="90"/>
    <n v="270"/>
    <n v="240"/>
    <n v="0.4"/>
    <x v="0"/>
    <x v="5"/>
  </r>
  <r>
    <s v="ORD0426"/>
    <d v="2026-07-26T00:00:00"/>
    <s v="C070"/>
    <x v="1"/>
    <x v="0"/>
    <s v="Laptop Stand"/>
    <n v="5"/>
    <n v="800"/>
    <n v="0.15"/>
    <n v="450"/>
    <n v="4000"/>
    <n v="600"/>
    <n v="2250"/>
    <n v="1150"/>
    <n v="0.28749999999999998"/>
    <x v="1"/>
    <x v="5"/>
  </r>
  <r>
    <s v="ORD0427"/>
    <d v="2026-11-25T00:00:00"/>
    <s v="C073"/>
    <x v="0"/>
    <x v="3"/>
    <s v="Bookshelf"/>
    <n v="4"/>
    <n v="3500"/>
    <n v="0.1"/>
    <n v="2200"/>
    <n v="14000"/>
    <n v="1400"/>
    <n v="8800"/>
    <n v="3800"/>
    <n v="0.27142857142857141"/>
    <x v="1"/>
    <x v="10"/>
  </r>
  <r>
    <s v="ORD0428"/>
    <d v="2026-05-02T00:00:00"/>
    <s v="C096"/>
    <x v="2"/>
    <x v="0"/>
    <s v="Mouse Pad"/>
    <n v="2"/>
    <n v="250"/>
    <n v="0.1"/>
    <n v="100"/>
    <n v="500"/>
    <n v="50"/>
    <n v="200"/>
    <n v="250"/>
    <n v="0.5"/>
    <x v="1"/>
    <x v="11"/>
  </r>
  <r>
    <s v="ORD0429"/>
    <d v="2026-08-22T00:00:00"/>
    <s v="C054"/>
    <x v="0"/>
    <x v="1"/>
    <s v="Printer Paper"/>
    <n v="1"/>
    <n v="300"/>
    <n v="0.05"/>
    <n v="180"/>
    <n v="300"/>
    <n v="15"/>
    <n v="180"/>
    <n v="105"/>
    <n v="0.35"/>
    <x v="1"/>
    <x v="6"/>
  </r>
  <r>
    <s v="ORD0430"/>
    <d v="2026-09-21T00:00:00"/>
    <s v="C052"/>
    <x v="3"/>
    <x v="3"/>
    <s v="Cabinet"/>
    <n v="5"/>
    <n v="4000"/>
    <n v="0.15"/>
    <n v="2700"/>
    <n v="20000"/>
    <n v="3000"/>
    <n v="13500"/>
    <n v="3500"/>
    <n v="0.17499999999999999"/>
    <x v="1"/>
    <x v="0"/>
  </r>
  <r>
    <s v="ORD0431"/>
    <d v="2026-01-17T00:00:00"/>
    <s v="C075"/>
    <x v="3"/>
    <x v="2"/>
    <s v="Headphones"/>
    <n v="3"/>
    <n v="1500"/>
    <n v="0.15"/>
    <n v="900"/>
    <n v="4500"/>
    <n v="675"/>
    <n v="2700"/>
    <n v="1125"/>
    <n v="0.25"/>
    <x v="1"/>
    <x v="1"/>
  </r>
  <r>
    <s v="ORD0432"/>
    <d v="2026-01-07T00:00:00"/>
    <s v="C055"/>
    <x v="3"/>
    <x v="2"/>
    <s v="Headphones"/>
    <n v="4"/>
    <n v="1500"/>
    <n v="0.15"/>
    <n v="900"/>
    <n v="6000"/>
    <n v="900"/>
    <n v="3600"/>
    <n v="1500"/>
    <n v="0.25"/>
    <x v="1"/>
    <x v="1"/>
  </r>
  <r>
    <s v="ORD0433"/>
    <d v="2025-09-11T00:00:00"/>
    <s v="C026"/>
    <x v="1"/>
    <x v="0"/>
    <s v="Mouse Pad"/>
    <n v="6"/>
    <n v="250"/>
    <n v="0.05"/>
    <n v="100"/>
    <n v="1500"/>
    <n v="75"/>
    <n v="600"/>
    <n v="825"/>
    <n v="0.55000000000000004"/>
    <x v="0"/>
    <x v="0"/>
  </r>
  <r>
    <s v="ORD0434"/>
    <d v="2025-10-19T00:00:00"/>
    <s v="C053"/>
    <x v="1"/>
    <x v="1"/>
    <s v="Notebook"/>
    <n v="2"/>
    <n v="100"/>
    <n v="0"/>
    <n v="40"/>
    <n v="200"/>
    <n v="0"/>
    <n v="80"/>
    <n v="120"/>
    <n v="0.6"/>
    <x v="0"/>
    <x v="7"/>
  </r>
  <r>
    <s v="ORD0435"/>
    <d v="2025-09-16T00:00:00"/>
    <s v="C077"/>
    <x v="3"/>
    <x v="2"/>
    <s v="Monitor"/>
    <n v="2"/>
    <n v="9000"/>
    <n v="0.15"/>
    <n v="6500"/>
    <n v="18000"/>
    <n v="2700"/>
    <n v="13000"/>
    <n v="2300"/>
    <n v="0.12777777777777777"/>
    <x v="0"/>
    <x v="0"/>
  </r>
  <r>
    <s v="ORD0436"/>
    <d v="2026-03-26T00:00:00"/>
    <s v="C046"/>
    <x v="3"/>
    <x v="1"/>
    <s v="Printer Paper"/>
    <n v="5"/>
    <n v="300"/>
    <n v="0.15"/>
    <n v="180"/>
    <n v="1500"/>
    <n v="225"/>
    <n v="900"/>
    <n v="375"/>
    <n v="0.25"/>
    <x v="1"/>
    <x v="3"/>
  </r>
  <r>
    <s v="ORD0437"/>
    <d v="2025-10-24T00:00:00"/>
    <s v="C074"/>
    <x v="3"/>
    <x v="0"/>
    <s v="Webcam"/>
    <n v="6"/>
    <n v="2000"/>
    <n v="0.05"/>
    <n v="1200"/>
    <n v="12000"/>
    <n v="600"/>
    <n v="7200"/>
    <n v="4200"/>
    <n v="0.35"/>
    <x v="0"/>
    <x v="7"/>
  </r>
  <r>
    <s v="ORD0438"/>
    <d v="2026-08-27T00:00:00"/>
    <s v="C055"/>
    <x v="3"/>
    <x v="2"/>
    <s v="Mouse"/>
    <n v="6"/>
    <n v="500"/>
    <n v="0.05"/>
    <n v="250"/>
    <n v="3000"/>
    <n v="150"/>
    <n v="1500"/>
    <n v="1350"/>
    <n v="0.45"/>
    <x v="1"/>
    <x v="6"/>
  </r>
  <r>
    <s v="ORD0439"/>
    <d v="2026-03-14T00:00:00"/>
    <s v="C059"/>
    <x v="3"/>
    <x v="1"/>
    <s v="Notebook"/>
    <n v="2"/>
    <n v="100"/>
    <n v="0.15"/>
    <n v="40"/>
    <n v="200"/>
    <n v="30"/>
    <n v="80"/>
    <n v="90"/>
    <n v="0.45"/>
    <x v="1"/>
    <x v="3"/>
  </r>
  <r>
    <s v="ORD0440"/>
    <d v="2025-06-08T00:00:00"/>
    <s v="C059"/>
    <x v="3"/>
    <x v="3"/>
    <s v="Desk"/>
    <n v="7"/>
    <n v="6000"/>
    <n v="0.05"/>
    <n v="4000"/>
    <n v="42000"/>
    <n v="2100"/>
    <n v="28000"/>
    <n v="11900"/>
    <n v="0.28333333333333333"/>
    <x v="0"/>
    <x v="2"/>
  </r>
  <r>
    <s v="ORD0441"/>
    <d v="2025-12-06T00:00:00"/>
    <s v="C062"/>
    <x v="1"/>
    <x v="0"/>
    <s v="Mouse Pad"/>
    <n v="1"/>
    <n v="250"/>
    <n v="0.1"/>
    <n v="100"/>
    <n v="250"/>
    <n v="25"/>
    <n v="100"/>
    <n v="125"/>
    <n v="0.5"/>
    <x v="0"/>
    <x v="4"/>
  </r>
  <r>
    <s v="ORD0442"/>
    <d v="2026-01-03T00:00:00"/>
    <s v="C050"/>
    <x v="2"/>
    <x v="3"/>
    <s v="Cabinet"/>
    <n v="2"/>
    <n v="4000"/>
    <n v="0.15"/>
    <n v="2700"/>
    <n v="8000"/>
    <n v="1200"/>
    <n v="5400"/>
    <n v="1400"/>
    <n v="0.17499999999999999"/>
    <x v="1"/>
    <x v="1"/>
  </r>
  <r>
    <s v="ORD0443"/>
    <d v="2025-03-12T00:00:00"/>
    <s v="C042"/>
    <x v="3"/>
    <x v="1"/>
    <s v="Pen Set"/>
    <n v="5"/>
    <n v="150"/>
    <n v="0"/>
    <n v="60"/>
    <n v="750"/>
    <n v="0"/>
    <n v="300"/>
    <n v="450"/>
    <n v="0.6"/>
    <x v="0"/>
    <x v="3"/>
  </r>
  <r>
    <s v="ORD0444"/>
    <d v="2025-01-04T00:00:00"/>
    <s v="C053"/>
    <x v="2"/>
    <x v="0"/>
    <s v="Webcam"/>
    <n v="1"/>
    <n v="2000"/>
    <n v="0.1"/>
    <n v="1200"/>
    <n v="2000"/>
    <n v="200"/>
    <n v="1200"/>
    <n v="600"/>
    <n v="0.3"/>
    <x v="0"/>
    <x v="1"/>
  </r>
  <r>
    <s v="ORD0445"/>
    <d v="2026-04-27T00:00:00"/>
    <s v="C033"/>
    <x v="1"/>
    <x v="3"/>
    <s v="Bookshelf"/>
    <n v="1"/>
    <n v="3500"/>
    <n v="0.15"/>
    <n v="2200"/>
    <n v="3500"/>
    <n v="525"/>
    <n v="2200"/>
    <n v="775"/>
    <n v="0.22142857142857142"/>
    <x v="1"/>
    <x v="8"/>
  </r>
  <r>
    <s v="ORD0446"/>
    <d v="2026-10-05T00:00:00"/>
    <s v="C049"/>
    <x v="3"/>
    <x v="0"/>
    <s v="Laptop Stand"/>
    <n v="8"/>
    <n v="800"/>
    <n v="0"/>
    <n v="450"/>
    <n v="6400"/>
    <n v="0"/>
    <n v="3600"/>
    <n v="2800"/>
    <n v="0.4375"/>
    <x v="1"/>
    <x v="7"/>
  </r>
  <r>
    <s v="ORD0447"/>
    <d v="2026-02-21T00:00:00"/>
    <s v="C074"/>
    <x v="1"/>
    <x v="2"/>
    <s v="Keyboard"/>
    <n v="5"/>
    <n v="1200"/>
    <n v="0.1"/>
    <n v="750"/>
    <n v="6000"/>
    <n v="600"/>
    <n v="3750"/>
    <n v="1650"/>
    <n v="0.27500000000000002"/>
    <x v="1"/>
    <x v="9"/>
  </r>
  <r>
    <s v="ORD0448"/>
    <d v="2025-09-22T00:00:00"/>
    <s v="C084"/>
    <x v="2"/>
    <x v="3"/>
    <s v="Office Chair"/>
    <n v="4"/>
    <n v="4500"/>
    <n v="0.15"/>
    <n v="3000"/>
    <n v="18000"/>
    <n v="2700"/>
    <n v="12000"/>
    <n v="3300"/>
    <n v="0.18333333333333332"/>
    <x v="0"/>
    <x v="0"/>
  </r>
  <r>
    <s v="ORD0449"/>
    <d v="2025-12-28T00:00:00"/>
    <s v="C008"/>
    <x v="2"/>
    <x v="0"/>
    <s v="USB Hub"/>
    <n v="8"/>
    <n v="700"/>
    <n v="0"/>
    <n v="400"/>
    <n v="5600"/>
    <n v="0"/>
    <n v="3200"/>
    <n v="2400"/>
    <n v="0.42857142857142855"/>
    <x v="0"/>
    <x v="4"/>
  </r>
  <r>
    <s v="ORD0450"/>
    <d v="2026-04-07T00:00:00"/>
    <s v="C022"/>
    <x v="1"/>
    <x v="2"/>
    <s v="Mouse"/>
    <n v="5"/>
    <n v="500"/>
    <n v="0"/>
    <n v="250"/>
    <n v="2500"/>
    <n v="0"/>
    <n v="1250"/>
    <n v="1250"/>
    <n v="0.5"/>
    <x v="1"/>
    <x v="8"/>
  </r>
  <r>
    <s v="ORD0451"/>
    <d v="2025-07-17T00:00:00"/>
    <s v="C039"/>
    <x v="3"/>
    <x v="0"/>
    <s v="Mouse Pad"/>
    <n v="4"/>
    <n v="250"/>
    <n v="0.15"/>
    <n v="100"/>
    <n v="1000"/>
    <n v="150"/>
    <n v="400"/>
    <n v="450"/>
    <n v="0.45"/>
    <x v="0"/>
    <x v="5"/>
  </r>
  <r>
    <s v="ORD0452"/>
    <d v="2025-01-06T00:00:00"/>
    <s v="C060"/>
    <x v="3"/>
    <x v="3"/>
    <s v="Office Chair"/>
    <n v="2"/>
    <n v="4500"/>
    <n v="0.1"/>
    <n v="3000"/>
    <n v="9000"/>
    <n v="900"/>
    <n v="6000"/>
    <n v="2100"/>
    <n v="0.23333333333333334"/>
    <x v="0"/>
    <x v="1"/>
  </r>
  <r>
    <s v="ORD0453"/>
    <d v="2026-02-21T00:00:00"/>
    <s v="C036"/>
    <x v="3"/>
    <x v="2"/>
    <s v="Monitor"/>
    <n v="5"/>
    <n v="9000"/>
    <n v="0"/>
    <n v="6500"/>
    <n v="45000"/>
    <n v="0"/>
    <n v="32500"/>
    <n v="12500"/>
    <n v="0.27777777777777779"/>
    <x v="1"/>
    <x v="9"/>
  </r>
  <r>
    <s v="ORD0454"/>
    <d v="2026-02-28T00:00:00"/>
    <s v="C036"/>
    <x v="3"/>
    <x v="1"/>
    <s v="Stapler"/>
    <n v="6"/>
    <n v="200"/>
    <n v="0.15"/>
    <n v="90"/>
    <n v="1200"/>
    <n v="180"/>
    <n v="540"/>
    <n v="480"/>
    <n v="0.4"/>
    <x v="1"/>
    <x v="9"/>
  </r>
  <r>
    <s v="ORD0455"/>
    <d v="2026-08-18T00:00:00"/>
    <s v="C047"/>
    <x v="2"/>
    <x v="1"/>
    <s v="Stapler"/>
    <n v="2"/>
    <n v="200"/>
    <n v="0.05"/>
    <n v="90"/>
    <n v="400"/>
    <n v="20"/>
    <n v="180"/>
    <n v="200"/>
    <n v="0.5"/>
    <x v="1"/>
    <x v="6"/>
  </r>
  <r>
    <s v="ORD0456"/>
    <d v="2026-10-28T00:00:00"/>
    <s v="C016"/>
    <x v="1"/>
    <x v="3"/>
    <s v="Office Chair"/>
    <n v="5"/>
    <n v="4500"/>
    <n v="0.15"/>
    <n v="3000"/>
    <n v="22500"/>
    <n v="3375"/>
    <n v="15000"/>
    <n v="4125"/>
    <n v="0.18333333333333332"/>
    <x v="1"/>
    <x v="7"/>
  </r>
  <r>
    <s v="ORD0457"/>
    <d v="2026-07-01T00:00:00"/>
    <s v="C081"/>
    <x v="3"/>
    <x v="1"/>
    <s v="Notebook"/>
    <n v="8"/>
    <n v="100"/>
    <n v="0.05"/>
    <n v="40"/>
    <n v="800"/>
    <n v="40"/>
    <n v="320"/>
    <n v="440"/>
    <n v="0.55000000000000004"/>
    <x v="1"/>
    <x v="5"/>
  </r>
  <r>
    <s v="ORD0458"/>
    <d v="2026-07-23T00:00:00"/>
    <s v="C096"/>
    <x v="3"/>
    <x v="0"/>
    <s v="Laptop Stand"/>
    <n v="2"/>
    <n v="800"/>
    <n v="0.15"/>
    <n v="450"/>
    <n v="1600"/>
    <n v="240"/>
    <n v="900"/>
    <n v="460"/>
    <n v="0.28749999999999998"/>
    <x v="1"/>
    <x v="5"/>
  </r>
  <r>
    <s v="ORD0459"/>
    <d v="2026-12-10T00:00:00"/>
    <s v="C032"/>
    <x v="2"/>
    <x v="3"/>
    <s v="Bookshelf"/>
    <n v="2"/>
    <n v="3500"/>
    <n v="0.1"/>
    <n v="2200"/>
    <n v="7000"/>
    <n v="700"/>
    <n v="4400"/>
    <n v="1900"/>
    <n v="0.27142857142857141"/>
    <x v="1"/>
    <x v="4"/>
  </r>
  <r>
    <s v="ORD0460"/>
    <d v="2026-12-18T00:00:00"/>
    <s v="C094"/>
    <x v="3"/>
    <x v="1"/>
    <s v="Notebook"/>
    <n v="8"/>
    <n v="100"/>
    <n v="0.15"/>
    <n v="40"/>
    <n v="800"/>
    <n v="120"/>
    <n v="320"/>
    <n v="360"/>
    <n v="0.45"/>
    <x v="1"/>
    <x v="4"/>
  </r>
  <r>
    <s v="ORD0461"/>
    <d v="2025-08-11T00:00:00"/>
    <s v="C078"/>
    <x v="1"/>
    <x v="3"/>
    <s v="Office Chair"/>
    <n v="2"/>
    <n v="4500"/>
    <n v="0"/>
    <n v="3000"/>
    <n v="9000"/>
    <n v="0"/>
    <n v="6000"/>
    <n v="3000"/>
    <n v="0.33333333333333331"/>
    <x v="0"/>
    <x v="6"/>
  </r>
  <r>
    <s v="ORD0462"/>
    <d v="2026-03-12T00:00:00"/>
    <s v="C060"/>
    <x v="1"/>
    <x v="3"/>
    <s v="Desk"/>
    <n v="6"/>
    <n v="6000"/>
    <n v="0.1"/>
    <n v="4000"/>
    <n v="36000"/>
    <n v="3600"/>
    <n v="24000"/>
    <n v="8400"/>
    <n v="0.23333333333333334"/>
    <x v="1"/>
    <x v="3"/>
  </r>
  <r>
    <s v="ORD0463"/>
    <d v="2025-05-14T00:00:00"/>
    <s v="C089"/>
    <x v="0"/>
    <x v="2"/>
    <s v="Mouse"/>
    <n v="6"/>
    <n v="500"/>
    <n v="0.15"/>
    <n v="250"/>
    <n v="3000"/>
    <n v="450"/>
    <n v="1500"/>
    <n v="1050"/>
    <n v="0.35"/>
    <x v="0"/>
    <x v="11"/>
  </r>
  <r>
    <s v="ORD0464"/>
    <d v="2025-11-16T00:00:00"/>
    <s v="C039"/>
    <x v="0"/>
    <x v="0"/>
    <s v="USB Hub"/>
    <n v="7"/>
    <n v="700"/>
    <n v="0.15"/>
    <n v="400"/>
    <n v="4900"/>
    <n v="735"/>
    <n v="2800"/>
    <n v="1365"/>
    <n v="0.27857142857142858"/>
    <x v="0"/>
    <x v="10"/>
  </r>
  <r>
    <s v="ORD0465"/>
    <d v="2026-11-02T00:00:00"/>
    <s v="C008"/>
    <x v="1"/>
    <x v="2"/>
    <s v="Headphones"/>
    <n v="7"/>
    <n v="1500"/>
    <n v="0.15"/>
    <n v="900"/>
    <n v="10500"/>
    <n v="1575"/>
    <n v="6300"/>
    <n v="2625"/>
    <n v="0.25"/>
    <x v="1"/>
    <x v="10"/>
  </r>
  <r>
    <s v="ORD0466"/>
    <d v="2025-02-17T00:00:00"/>
    <s v="C061"/>
    <x v="1"/>
    <x v="2"/>
    <s v="Mouse"/>
    <n v="8"/>
    <n v="500"/>
    <n v="0.15"/>
    <n v="250"/>
    <n v="4000"/>
    <n v="600"/>
    <n v="2000"/>
    <n v="1400"/>
    <n v="0.35"/>
    <x v="0"/>
    <x v="9"/>
  </r>
  <r>
    <s v="ORD0467"/>
    <d v="2025-01-24T00:00:00"/>
    <s v="C091"/>
    <x v="3"/>
    <x v="2"/>
    <s v="Mouse"/>
    <n v="6"/>
    <n v="500"/>
    <n v="0"/>
    <n v="250"/>
    <n v="3000"/>
    <n v="0"/>
    <n v="1500"/>
    <n v="1500"/>
    <n v="0.5"/>
    <x v="0"/>
    <x v="1"/>
  </r>
  <r>
    <s v="ORD0468"/>
    <d v="2026-04-24T00:00:00"/>
    <s v="C056"/>
    <x v="2"/>
    <x v="0"/>
    <s v="Laptop Stand"/>
    <n v="1"/>
    <n v="800"/>
    <n v="0.05"/>
    <n v="450"/>
    <n v="800"/>
    <n v="40"/>
    <n v="450"/>
    <n v="310"/>
    <n v="0.38750000000000001"/>
    <x v="1"/>
    <x v="8"/>
  </r>
  <r>
    <s v="ORD0469"/>
    <d v="2025-09-17T00:00:00"/>
    <s v="C053"/>
    <x v="3"/>
    <x v="0"/>
    <s v="Laptop Stand"/>
    <n v="8"/>
    <n v="800"/>
    <n v="0"/>
    <n v="450"/>
    <n v="6400"/>
    <n v="0"/>
    <n v="3600"/>
    <n v="2800"/>
    <n v="0.4375"/>
    <x v="0"/>
    <x v="0"/>
  </r>
  <r>
    <s v="ORD0470"/>
    <d v="2025-11-13T00:00:00"/>
    <s v="C079"/>
    <x v="0"/>
    <x v="0"/>
    <s v="USB Hub"/>
    <n v="7"/>
    <n v="700"/>
    <n v="0.1"/>
    <n v="400"/>
    <n v="4900"/>
    <n v="490"/>
    <n v="2800"/>
    <n v="1610"/>
    <n v="0.32857142857142857"/>
    <x v="0"/>
    <x v="10"/>
  </r>
  <r>
    <s v="ORD0471"/>
    <d v="2026-09-16T00:00:00"/>
    <s v="C049"/>
    <x v="3"/>
    <x v="3"/>
    <s v="Desk"/>
    <n v="6"/>
    <n v="6000"/>
    <n v="0.1"/>
    <n v="4000"/>
    <n v="36000"/>
    <n v="3600"/>
    <n v="24000"/>
    <n v="8400"/>
    <n v="0.23333333333333334"/>
    <x v="1"/>
    <x v="0"/>
  </r>
  <r>
    <s v="ORD0472"/>
    <d v="2026-11-18T00:00:00"/>
    <s v="C071"/>
    <x v="2"/>
    <x v="1"/>
    <s v="Pen Set"/>
    <n v="8"/>
    <n v="150"/>
    <n v="0"/>
    <n v="60"/>
    <n v="1200"/>
    <n v="0"/>
    <n v="480"/>
    <n v="720"/>
    <n v="0.6"/>
    <x v="1"/>
    <x v="10"/>
  </r>
  <r>
    <s v="ORD0473"/>
    <d v="2025-11-27T00:00:00"/>
    <s v="C054"/>
    <x v="3"/>
    <x v="3"/>
    <s v="Office Chair"/>
    <n v="5"/>
    <n v="4500"/>
    <n v="0.05"/>
    <n v="3000"/>
    <n v="22500"/>
    <n v="1125"/>
    <n v="15000"/>
    <n v="6375"/>
    <n v="0.28333333333333333"/>
    <x v="0"/>
    <x v="10"/>
  </r>
  <r>
    <s v="ORD0474"/>
    <d v="2026-11-13T00:00:00"/>
    <s v="C013"/>
    <x v="1"/>
    <x v="3"/>
    <s v="Desk"/>
    <n v="8"/>
    <n v="6000"/>
    <n v="0.15"/>
    <n v="4000"/>
    <n v="48000"/>
    <n v="7200"/>
    <n v="32000"/>
    <n v="8800"/>
    <n v="0.18333333333333332"/>
    <x v="1"/>
    <x v="10"/>
  </r>
  <r>
    <s v="ORD0475"/>
    <d v="2025-07-02T00:00:00"/>
    <s v="C028"/>
    <x v="3"/>
    <x v="1"/>
    <s v="Notebook"/>
    <n v="2"/>
    <n v="100"/>
    <n v="0"/>
    <n v="40"/>
    <n v="200"/>
    <n v="0"/>
    <n v="80"/>
    <n v="120"/>
    <n v="0.6"/>
    <x v="0"/>
    <x v="5"/>
  </r>
  <r>
    <s v="ORD0476"/>
    <d v="2026-12-12T00:00:00"/>
    <s v="C072"/>
    <x v="0"/>
    <x v="2"/>
    <s v="Keyboard"/>
    <n v="2"/>
    <n v="1200"/>
    <n v="0"/>
    <n v="750"/>
    <n v="2400"/>
    <n v="0"/>
    <n v="1500"/>
    <n v="900"/>
    <n v="0.375"/>
    <x v="1"/>
    <x v="4"/>
  </r>
  <r>
    <s v="ORD0477"/>
    <d v="2026-11-21T00:00:00"/>
    <s v="C002"/>
    <x v="1"/>
    <x v="2"/>
    <s v="Headphones"/>
    <n v="1"/>
    <n v="1500"/>
    <n v="0.05"/>
    <n v="900"/>
    <n v="1500"/>
    <n v="75"/>
    <n v="900"/>
    <n v="525"/>
    <n v="0.35"/>
    <x v="1"/>
    <x v="10"/>
  </r>
  <r>
    <s v="ORD0478"/>
    <d v="2025-04-03T00:00:00"/>
    <s v="C056"/>
    <x v="0"/>
    <x v="1"/>
    <s v="Notebook"/>
    <n v="3"/>
    <n v="100"/>
    <n v="0"/>
    <n v="40"/>
    <n v="300"/>
    <n v="0"/>
    <n v="120"/>
    <n v="180"/>
    <n v="0.6"/>
    <x v="0"/>
    <x v="8"/>
  </r>
  <r>
    <s v="ORD0479"/>
    <d v="2026-11-25T00:00:00"/>
    <s v="C050"/>
    <x v="2"/>
    <x v="2"/>
    <s v="Headphones"/>
    <n v="2"/>
    <n v="1500"/>
    <n v="0.15"/>
    <n v="900"/>
    <n v="3000"/>
    <n v="450"/>
    <n v="1800"/>
    <n v="750"/>
    <n v="0.25"/>
    <x v="1"/>
    <x v="10"/>
  </r>
  <r>
    <s v="ORD0480"/>
    <d v="2026-06-22T00:00:00"/>
    <s v="C076"/>
    <x v="2"/>
    <x v="1"/>
    <s v="Pen Set"/>
    <n v="6"/>
    <n v="150"/>
    <n v="0.05"/>
    <n v="60"/>
    <n v="900"/>
    <n v="45"/>
    <n v="360"/>
    <n v="495"/>
    <n v="0.55000000000000004"/>
    <x v="1"/>
    <x v="2"/>
  </r>
  <r>
    <s v="ORD0481"/>
    <d v="2025-01-31T00:00:00"/>
    <s v="C034"/>
    <x v="2"/>
    <x v="2"/>
    <s v="Headphones"/>
    <n v="1"/>
    <n v="1500"/>
    <n v="0"/>
    <n v="900"/>
    <n v="1500"/>
    <n v="0"/>
    <n v="900"/>
    <n v="600"/>
    <n v="0.4"/>
    <x v="0"/>
    <x v="1"/>
  </r>
  <r>
    <s v="ORD0482"/>
    <d v="2025-10-20T00:00:00"/>
    <s v="C022"/>
    <x v="2"/>
    <x v="1"/>
    <s v="Notebook"/>
    <n v="4"/>
    <n v="100"/>
    <n v="0"/>
    <n v="40"/>
    <n v="400"/>
    <n v="0"/>
    <n v="160"/>
    <n v="240"/>
    <n v="0.6"/>
    <x v="0"/>
    <x v="7"/>
  </r>
  <r>
    <s v="ORD0483"/>
    <d v="2025-04-08T00:00:00"/>
    <s v="C024"/>
    <x v="1"/>
    <x v="3"/>
    <s v="Bookshelf"/>
    <n v="8"/>
    <n v="3500"/>
    <n v="0"/>
    <n v="2200"/>
    <n v="28000"/>
    <n v="0"/>
    <n v="17600"/>
    <n v="10400"/>
    <n v="0.37142857142857144"/>
    <x v="0"/>
    <x v="8"/>
  </r>
  <r>
    <s v="ORD0484"/>
    <d v="2026-08-07T00:00:00"/>
    <s v="C046"/>
    <x v="0"/>
    <x v="2"/>
    <s v="Mouse"/>
    <n v="6"/>
    <n v="500"/>
    <n v="0.1"/>
    <n v="250"/>
    <n v="3000"/>
    <n v="300"/>
    <n v="1500"/>
    <n v="1200"/>
    <n v="0.4"/>
    <x v="1"/>
    <x v="6"/>
  </r>
  <r>
    <s v="ORD0485"/>
    <d v="2025-02-01T00:00:00"/>
    <s v="C024"/>
    <x v="0"/>
    <x v="1"/>
    <s v="Pen Set"/>
    <n v="6"/>
    <n v="150"/>
    <n v="0.1"/>
    <n v="60"/>
    <n v="900"/>
    <n v="90"/>
    <n v="360"/>
    <n v="450"/>
    <n v="0.5"/>
    <x v="0"/>
    <x v="9"/>
  </r>
  <r>
    <s v="ORD0486"/>
    <d v="2025-10-25T00:00:00"/>
    <s v="C027"/>
    <x v="3"/>
    <x v="0"/>
    <s v="Mouse Pad"/>
    <n v="3"/>
    <n v="250"/>
    <n v="0"/>
    <n v="100"/>
    <n v="750"/>
    <n v="0"/>
    <n v="300"/>
    <n v="450"/>
    <n v="0.6"/>
    <x v="0"/>
    <x v="7"/>
  </r>
  <r>
    <s v="ORD0487"/>
    <d v="2025-04-29T00:00:00"/>
    <s v="C045"/>
    <x v="0"/>
    <x v="1"/>
    <s v="Stapler"/>
    <n v="3"/>
    <n v="200"/>
    <n v="0.1"/>
    <n v="90"/>
    <n v="600"/>
    <n v="60"/>
    <n v="270"/>
    <n v="270"/>
    <n v="0.45"/>
    <x v="0"/>
    <x v="8"/>
  </r>
  <r>
    <s v="ORD0488"/>
    <d v="2026-05-08T00:00:00"/>
    <s v="C049"/>
    <x v="2"/>
    <x v="2"/>
    <s v="Mouse"/>
    <n v="5"/>
    <n v="500"/>
    <n v="0"/>
    <n v="250"/>
    <n v="2500"/>
    <n v="0"/>
    <n v="1250"/>
    <n v="1250"/>
    <n v="0.5"/>
    <x v="1"/>
    <x v="11"/>
  </r>
  <r>
    <s v="ORD0489"/>
    <d v="2026-06-09T00:00:00"/>
    <s v="C044"/>
    <x v="3"/>
    <x v="0"/>
    <s v="Mouse Pad"/>
    <n v="6"/>
    <n v="250"/>
    <n v="0.05"/>
    <n v="100"/>
    <n v="1500"/>
    <n v="75"/>
    <n v="600"/>
    <n v="825"/>
    <n v="0.55000000000000004"/>
    <x v="1"/>
    <x v="2"/>
  </r>
  <r>
    <s v="ORD0490"/>
    <d v="2026-01-22T00:00:00"/>
    <s v="C009"/>
    <x v="3"/>
    <x v="2"/>
    <s v="Headphones"/>
    <n v="2"/>
    <n v="1500"/>
    <n v="0"/>
    <n v="900"/>
    <n v="3000"/>
    <n v="0"/>
    <n v="1800"/>
    <n v="1200"/>
    <n v="0.4"/>
    <x v="1"/>
    <x v="1"/>
  </r>
  <r>
    <s v="ORD0491"/>
    <d v="2026-10-19T00:00:00"/>
    <s v="C052"/>
    <x v="0"/>
    <x v="0"/>
    <s v="USB Hub"/>
    <n v="2"/>
    <n v="700"/>
    <n v="0.05"/>
    <n v="400"/>
    <n v="1400"/>
    <n v="70"/>
    <n v="800"/>
    <n v="530"/>
    <n v="0.37857142857142856"/>
    <x v="1"/>
    <x v="7"/>
  </r>
  <r>
    <s v="ORD0492"/>
    <d v="2026-01-18T00:00:00"/>
    <s v="C025"/>
    <x v="2"/>
    <x v="0"/>
    <s v="USB Hub"/>
    <n v="4"/>
    <n v="700"/>
    <n v="0.15"/>
    <n v="400"/>
    <n v="2800"/>
    <n v="420"/>
    <n v="1600"/>
    <n v="780"/>
    <n v="0.27857142857142858"/>
    <x v="1"/>
    <x v="1"/>
  </r>
  <r>
    <s v="ORD0493"/>
    <d v="2026-07-27T00:00:00"/>
    <s v="C020"/>
    <x v="3"/>
    <x v="3"/>
    <s v="Desk"/>
    <n v="8"/>
    <n v="6000"/>
    <n v="0.1"/>
    <n v="4000"/>
    <n v="48000"/>
    <n v="4800"/>
    <n v="32000"/>
    <n v="11200"/>
    <n v="0.23333333333333334"/>
    <x v="1"/>
    <x v="5"/>
  </r>
  <r>
    <s v="ORD0494"/>
    <d v="2025-05-15T00:00:00"/>
    <s v="C011"/>
    <x v="2"/>
    <x v="1"/>
    <s v="Pen Set"/>
    <n v="7"/>
    <n v="150"/>
    <n v="0.15"/>
    <n v="60"/>
    <n v="1050"/>
    <n v="157.5"/>
    <n v="420"/>
    <n v="472.5"/>
    <n v="0.45"/>
    <x v="0"/>
    <x v="11"/>
  </r>
  <r>
    <s v="ORD0495"/>
    <d v="2025-03-13T00:00:00"/>
    <s v="C048"/>
    <x v="2"/>
    <x v="0"/>
    <s v="Webcam"/>
    <n v="4"/>
    <n v="2000"/>
    <n v="0.1"/>
    <n v="1200"/>
    <n v="8000"/>
    <n v="800"/>
    <n v="4800"/>
    <n v="2400"/>
    <n v="0.3"/>
    <x v="0"/>
    <x v="3"/>
  </r>
  <r>
    <s v="ORD0496"/>
    <d v="2025-09-26T00:00:00"/>
    <s v="C078"/>
    <x v="2"/>
    <x v="0"/>
    <s v="USB Hub"/>
    <n v="3"/>
    <n v="700"/>
    <n v="0.05"/>
    <n v="400"/>
    <n v="2100"/>
    <n v="105"/>
    <n v="1200"/>
    <n v="795"/>
    <n v="0.37857142857142856"/>
    <x v="0"/>
    <x v="0"/>
  </r>
  <r>
    <s v="ORD0497"/>
    <d v="2025-11-23T00:00:00"/>
    <s v="C032"/>
    <x v="1"/>
    <x v="0"/>
    <s v="Webcam"/>
    <n v="4"/>
    <n v="2000"/>
    <n v="0.1"/>
    <n v="1200"/>
    <n v="8000"/>
    <n v="800"/>
    <n v="4800"/>
    <n v="2400"/>
    <n v="0.3"/>
    <x v="0"/>
    <x v="10"/>
  </r>
  <r>
    <s v="ORD0498"/>
    <d v="2026-08-17T00:00:00"/>
    <s v="C068"/>
    <x v="0"/>
    <x v="2"/>
    <s v="Headphones"/>
    <n v="3"/>
    <n v="1500"/>
    <n v="0.05"/>
    <n v="900"/>
    <n v="4500"/>
    <n v="225"/>
    <n v="2700"/>
    <n v="1575"/>
    <n v="0.35"/>
    <x v="1"/>
    <x v="6"/>
  </r>
  <r>
    <s v="ORD0499"/>
    <d v="2026-12-15T00:00:00"/>
    <s v="C026"/>
    <x v="2"/>
    <x v="0"/>
    <s v="USB Hub"/>
    <n v="6"/>
    <n v="700"/>
    <n v="0.05"/>
    <n v="400"/>
    <n v="4200"/>
    <n v="210"/>
    <n v="2400"/>
    <n v="1590"/>
    <n v="0.37857142857142856"/>
    <x v="1"/>
    <x v="4"/>
  </r>
  <r>
    <s v="ORD0500"/>
    <d v="2025-04-09T00:00:00"/>
    <s v="C020"/>
    <x v="0"/>
    <x v="2"/>
    <s v="Mouse"/>
    <n v="5"/>
    <n v="500"/>
    <n v="0.05"/>
    <n v="250"/>
    <n v="2500"/>
    <n v="125"/>
    <n v="1250"/>
    <n v="1125"/>
    <n v="0.45"/>
    <x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508DEE-EF30-4EED-A7F0-F87DDFC4ED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7">
    <pivotField showAll="0"/>
    <pivotField numFmtId="14" showAll="0"/>
    <pivotField showAll="0"/>
    <pivotField axis="axisRow" showAll="0">
      <items count="5">
        <item x="2"/>
        <item x="1"/>
        <item x="3"/>
        <item x="0"/>
        <item t="default"/>
      </items>
    </pivotField>
    <pivotField showAll="0">
      <items count="5">
        <item x="0"/>
        <item x="2"/>
        <item h="1" x="3"/>
        <item x="1"/>
        <item t="default"/>
      </items>
    </pivotField>
    <pivotField showAll="0"/>
    <pivotField showAll="0"/>
    <pivotField showAll="0"/>
    <pivotField showAll="0"/>
    <pivotField showAll="0"/>
    <pivotField dataField="1" showAll="0"/>
    <pivotField showAll="0"/>
    <pivotField showAll="0"/>
    <pivotField showAll="0"/>
    <pivotField numFmtId="10" showAll="0"/>
    <pivotField showAll="0"/>
    <pivotField showAll="0"/>
  </pivotFields>
  <rowFields count="1">
    <field x="3"/>
  </rowFields>
  <rowItems count="5">
    <i>
      <x/>
    </i>
    <i>
      <x v="1"/>
    </i>
    <i>
      <x v="2"/>
    </i>
    <i>
      <x v="3"/>
    </i>
    <i t="grand">
      <x/>
    </i>
  </rowItems>
  <colItems count="1">
    <i/>
  </colItems>
  <dataFields count="1">
    <dataField name="Sum of SALES REVENUE" fld="10" baseField="0" baseItem="0"/>
  </dataFields>
  <chartFormats count="2">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8A074-7F5D-472B-9BC8-EB9239246D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7">
    <pivotField showAll="0"/>
    <pivotField numFmtId="14" showAll="0"/>
    <pivotField showAll="0"/>
    <pivotField showAll="0">
      <items count="5">
        <item x="2"/>
        <item x="1"/>
        <item x="3"/>
        <item x="0"/>
        <item t="default"/>
      </items>
    </pivotField>
    <pivotField axis="axisRow" showAll="0">
      <items count="5">
        <item x="0"/>
        <item x="2"/>
        <item x="3"/>
        <item x="1"/>
        <item t="default"/>
      </items>
    </pivotField>
    <pivotField showAll="0"/>
    <pivotField showAll="0"/>
    <pivotField showAll="0"/>
    <pivotField showAll="0"/>
    <pivotField showAll="0"/>
    <pivotField dataField="1" showAll="0"/>
    <pivotField showAll="0"/>
    <pivotField showAll="0"/>
    <pivotField showAll="0"/>
    <pivotField numFmtId="10" showAll="0"/>
    <pivotField showAll="0"/>
    <pivotField showAll="0"/>
  </pivotFields>
  <rowFields count="1">
    <field x="4"/>
  </rowFields>
  <rowItems count="5">
    <i>
      <x/>
    </i>
    <i>
      <x v="1"/>
    </i>
    <i>
      <x v="2"/>
    </i>
    <i>
      <x v="3"/>
    </i>
    <i t="grand">
      <x/>
    </i>
  </rowItems>
  <colItems count="1">
    <i/>
  </colItems>
  <dataFields count="1">
    <dataField name="Sum of SALES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BC683D-36EA-48C7-A74D-E0F2B50F7E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0" firstHeaderRow="1" firstDataRow="1" firstDataCol="1"/>
  <pivotFields count="17">
    <pivotField showAll="0"/>
    <pivotField numFmtId="14" showAll="0"/>
    <pivotField showAll="0"/>
    <pivotField showAll="0">
      <items count="5">
        <item x="2"/>
        <item x="1"/>
        <item x="3"/>
        <item x="0"/>
        <item t="default"/>
      </items>
    </pivotField>
    <pivotField showAll="0">
      <items count="5">
        <item x="0"/>
        <item x="2"/>
        <item h="1" x="3"/>
        <item x="1"/>
        <item t="default"/>
      </items>
    </pivotField>
    <pivotField showAll="0"/>
    <pivotField showAll="0"/>
    <pivotField showAll="0"/>
    <pivotField showAll="0"/>
    <pivotField showAll="0"/>
    <pivotField dataField="1" showAll="0"/>
    <pivotField showAll="0"/>
    <pivotField showAll="0"/>
    <pivotField showAll="0"/>
    <pivotField numFmtId="10" showAll="0"/>
    <pivotField axis="axisRow" showAll="0">
      <items count="3">
        <item x="0"/>
        <item x="1"/>
        <item t="default"/>
      </items>
    </pivotField>
    <pivotField axis="axisRow" showAll="0">
      <items count="13">
        <item x="1"/>
        <item x="9"/>
        <item x="3"/>
        <item x="8"/>
        <item x="11"/>
        <item x="2"/>
        <item x="5"/>
        <item x="6"/>
        <item x="0"/>
        <item x="7"/>
        <item x="10"/>
        <item x="4"/>
        <item t="default"/>
      </items>
    </pivotField>
  </pivotFields>
  <rowFields count="2">
    <field x="15"/>
    <field x="16"/>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AF55CA-FC28-41E6-A289-60EBE1068390}" sourceName="REGION">
  <pivotTables>
    <pivotTable tabId="4" name="PivotTable2"/>
    <pivotTable tabId="3" name="PivotTable1"/>
    <pivotTable tabId="5" name="PivotTable3"/>
  </pivotTables>
  <data>
    <tabular pivotCacheId="166586186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F6148D5-8224-4C61-A939-A33CCA31F9DA}"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133B-C8FD-40A3-B85B-75BFF1C00BF3}">
  <dimension ref="A3:B8"/>
  <sheetViews>
    <sheetView zoomScale="93" workbookViewId="0">
      <selection activeCell="C18" sqref="C18"/>
    </sheetView>
  </sheetViews>
  <sheetFormatPr defaultRowHeight="14.4"/>
  <cols>
    <col min="1" max="1" width="13.109375" bestFit="1" customWidth="1"/>
    <col min="2" max="3" width="21.21875" bestFit="1" customWidth="1"/>
  </cols>
  <sheetData>
    <row r="3" spans="1:2">
      <c r="A3" s="6" t="s">
        <v>672</v>
      </c>
      <c r="B3" t="s">
        <v>674</v>
      </c>
    </row>
    <row r="4" spans="1:2">
      <c r="A4" s="7" t="s">
        <v>50</v>
      </c>
      <c r="B4" s="11">
        <v>1146350</v>
      </c>
    </row>
    <row r="5" spans="1:2">
      <c r="A5" s="7" t="s">
        <v>44</v>
      </c>
      <c r="B5" s="11">
        <v>1197950</v>
      </c>
    </row>
    <row r="6" spans="1:2">
      <c r="A6" s="7" t="s">
        <v>55</v>
      </c>
      <c r="B6" s="11">
        <v>1375950</v>
      </c>
    </row>
    <row r="7" spans="1:2">
      <c r="A7" s="7" t="s">
        <v>38</v>
      </c>
      <c r="B7" s="11">
        <v>967250</v>
      </c>
    </row>
    <row r="8" spans="1:2">
      <c r="A8" s="7" t="s">
        <v>673</v>
      </c>
      <c r="B8" s="11">
        <v>4687500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F690-5329-4FD6-B8BC-B32FC0CB0FFF}">
  <dimension ref="A3:B8"/>
  <sheetViews>
    <sheetView workbookViewId="0">
      <selection activeCell="F21" sqref="F21"/>
    </sheetView>
  </sheetViews>
  <sheetFormatPr defaultRowHeight="14.4"/>
  <cols>
    <col min="1" max="1" width="13.109375" bestFit="1" customWidth="1"/>
    <col min="2" max="2" width="20.5546875" bestFit="1" customWidth="1"/>
  </cols>
  <sheetData>
    <row r="3" spans="1:2">
      <c r="A3" s="6" t="s">
        <v>672</v>
      </c>
      <c r="B3" t="s">
        <v>674</v>
      </c>
    </row>
    <row r="4" spans="1:2">
      <c r="A4" s="7" t="s">
        <v>39</v>
      </c>
      <c r="B4" s="11">
        <v>528800</v>
      </c>
    </row>
    <row r="5" spans="1:2">
      <c r="A5" s="7" t="s">
        <v>59</v>
      </c>
      <c r="B5" s="11">
        <v>1545200</v>
      </c>
    </row>
    <row r="6" spans="1:2">
      <c r="A6" s="7" t="s">
        <v>82</v>
      </c>
      <c r="B6" s="11">
        <v>2516500</v>
      </c>
    </row>
    <row r="7" spans="1:2">
      <c r="A7" s="7" t="s">
        <v>45</v>
      </c>
      <c r="B7" s="11">
        <v>97000</v>
      </c>
    </row>
    <row r="8" spans="1:2">
      <c r="A8" s="7" t="s">
        <v>673</v>
      </c>
      <c r="B8" s="11">
        <v>4687500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D4216-668A-43CF-9488-88C91266ECC5}">
  <dimension ref="A3:B30"/>
  <sheetViews>
    <sheetView workbookViewId="0">
      <selection activeCell="C3" sqref="C3"/>
    </sheetView>
  </sheetViews>
  <sheetFormatPr defaultRowHeight="14.4"/>
  <cols>
    <col min="1" max="1" width="12.44140625" bestFit="1" customWidth="1"/>
    <col min="2" max="2" width="20.5546875" bestFit="1" customWidth="1"/>
  </cols>
  <sheetData>
    <row r="3" spans="1:2">
      <c r="A3" s="6" t="s">
        <v>672</v>
      </c>
      <c r="B3" t="s">
        <v>674</v>
      </c>
    </row>
    <row r="4" spans="1:2">
      <c r="A4" s="7">
        <v>2025</v>
      </c>
      <c r="B4" s="11">
        <v>2409550</v>
      </c>
    </row>
    <row r="5" spans="1:2">
      <c r="A5" s="8" t="s">
        <v>47</v>
      </c>
      <c r="B5" s="11">
        <v>142450</v>
      </c>
    </row>
    <row r="6" spans="1:2">
      <c r="A6" s="8" t="s">
        <v>87</v>
      </c>
      <c r="B6" s="11">
        <v>278400</v>
      </c>
    </row>
    <row r="7" spans="1:2">
      <c r="A7" s="8" t="s">
        <v>57</v>
      </c>
      <c r="B7" s="11">
        <v>167400</v>
      </c>
    </row>
    <row r="8" spans="1:2">
      <c r="A8" s="8" t="s">
        <v>79</v>
      </c>
      <c r="B8" s="11">
        <v>300100</v>
      </c>
    </row>
    <row r="9" spans="1:2">
      <c r="A9" s="8" t="s">
        <v>145</v>
      </c>
      <c r="B9" s="11">
        <v>94650</v>
      </c>
    </row>
    <row r="10" spans="1:2">
      <c r="A10" s="8" t="s">
        <v>52</v>
      </c>
      <c r="B10" s="11">
        <v>218650</v>
      </c>
    </row>
    <row r="11" spans="1:2">
      <c r="A11" s="8" t="s">
        <v>68</v>
      </c>
      <c r="B11" s="11">
        <v>80850</v>
      </c>
    </row>
    <row r="12" spans="1:2">
      <c r="A12" s="8" t="s">
        <v>71</v>
      </c>
      <c r="B12" s="11">
        <v>149950</v>
      </c>
    </row>
    <row r="13" spans="1:2">
      <c r="A13" s="8" t="s">
        <v>41</v>
      </c>
      <c r="B13" s="11">
        <v>400350</v>
      </c>
    </row>
    <row r="14" spans="1:2">
      <c r="A14" s="8" t="s">
        <v>74</v>
      </c>
      <c r="B14" s="11">
        <v>145800</v>
      </c>
    </row>
    <row r="15" spans="1:2">
      <c r="A15" s="8" t="s">
        <v>98</v>
      </c>
      <c r="B15" s="11">
        <v>194350</v>
      </c>
    </row>
    <row r="16" spans="1:2">
      <c r="A16" s="8" t="s">
        <v>61</v>
      </c>
      <c r="B16" s="11">
        <v>236600</v>
      </c>
    </row>
    <row r="17" spans="1:2">
      <c r="A17" s="7">
        <v>2026</v>
      </c>
      <c r="B17" s="11">
        <v>2277950</v>
      </c>
    </row>
    <row r="18" spans="1:2">
      <c r="A18" s="8" t="s">
        <v>47</v>
      </c>
      <c r="B18" s="11">
        <v>206050</v>
      </c>
    </row>
    <row r="19" spans="1:2">
      <c r="A19" s="8" t="s">
        <v>87</v>
      </c>
      <c r="B19" s="11">
        <v>201400</v>
      </c>
    </row>
    <row r="20" spans="1:2">
      <c r="A20" s="8" t="s">
        <v>57</v>
      </c>
      <c r="B20" s="11">
        <v>165900</v>
      </c>
    </row>
    <row r="21" spans="1:2">
      <c r="A21" s="8" t="s">
        <v>79</v>
      </c>
      <c r="B21" s="11">
        <v>329450</v>
      </c>
    </row>
    <row r="22" spans="1:2">
      <c r="A22" s="8" t="s">
        <v>145</v>
      </c>
      <c r="B22" s="11">
        <v>99400</v>
      </c>
    </row>
    <row r="23" spans="1:2">
      <c r="A23" s="8" t="s">
        <v>52</v>
      </c>
      <c r="B23" s="11">
        <v>242600</v>
      </c>
    </row>
    <row r="24" spans="1:2">
      <c r="A24" s="8" t="s">
        <v>68</v>
      </c>
      <c r="B24" s="11">
        <v>245100</v>
      </c>
    </row>
    <row r="25" spans="1:2">
      <c r="A25" s="8" t="s">
        <v>71</v>
      </c>
      <c r="B25" s="11">
        <v>178050</v>
      </c>
    </row>
    <row r="26" spans="1:2">
      <c r="A26" s="8" t="s">
        <v>41</v>
      </c>
      <c r="B26" s="11">
        <v>229600</v>
      </c>
    </row>
    <row r="27" spans="1:2">
      <c r="A27" s="8" t="s">
        <v>74</v>
      </c>
      <c r="B27" s="11">
        <v>115450</v>
      </c>
    </row>
    <row r="28" spans="1:2">
      <c r="A28" s="8" t="s">
        <v>98</v>
      </c>
      <c r="B28" s="11">
        <v>227650</v>
      </c>
    </row>
    <row r="29" spans="1:2">
      <c r="A29" s="8" t="s">
        <v>61</v>
      </c>
      <c r="B29" s="11">
        <v>37300</v>
      </c>
    </row>
    <row r="30" spans="1:2">
      <c r="A30" s="7" t="s">
        <v>673</v>
      </c>
      <c r="B30" s="11">
        <v>4687500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3B3D-97FD-4378-A13F-68ABBC81AC3B}">
  <dimension ref="A1:Q501"/>
  <sheetViews>
    <sheetView zoomScale="97" workbookViewId="0">
      <selection activeCell="D24" sqref="D24"/>
    </sheetView>
  </sheetViews>
  <sheetFormatPr defaultRowHeight="14.4"/>
  <cols>
    <col min="2" max="2" width="12.6640625" customWidth="1"/>
    <col min="3" max="3" width="15.109375" customWidth="1"/>
    <col min="4" max="4" width="12.33203125" customWidth="1"/>
    <col min="5" max="5" width="14.88671875" customWidth="1"/>
    <col min="6" max="6" width="16.21875" customWidth="1"/>
    <col min="7" max="7" width="13.33203125" customWidth="1"/>
    <col min="8" max="8" width="12" customWidth="1"/>
    <col min="9" max="9" width="11.5546875" customWidth="1"/>
    <col min="10" max="10" width="15" customWidth="1"/>
    <col min="11" max="11" width="14.77734375" customWidth="1"/>
    <col min="12" max="12" width="18" customWidth="1"/>
    <col min="13" max="13" width="11.21875" customWidth="1"/>
    <col min="15" max="15" width="15" customWidth="1"/>
  </cols>
  <sheetData>
    <row r="1" spans="1:17">
      <c r="A1" s="1" t="s">
        <v>0</v>
      </c>
      <c r="B1" s="5" t="s">
        <v>1</v>
      </c>
      <c r="C1" s="1" t="s">
        <v>2</v>
      </c>
      <c r="D1" s="1" t="s">
        <v>3</v>
      </c>
      <c r="E1" s="1" t="s">
        <v>4</v>
      </c>
      <c r="F1" s="1" t="s">
        <v>5</v>
      </c>
      <c r="G1" s="1" t="s">
        <v>6</v>
      </c>
      <c r="H1" s="1" t="s">
        <v>7</v>
      </c>
      <c r="I1" s="1" t="s">
        <v>8</v>
      </c>
      <c r="J1" s="1" t="s">
        <v>9</v>
      </c>
      <c r="K1" s="1" t="s">
        <v>29</v>
      </c>
      <c r="L1" s="1" t="s">
        <v>30</v>
      </c>
      <c r="M1" s="1" t="s">
        <v>31</v>
      </c>
      <c r="N1" s="1" t="s">
        <v>32</v>
      </c>
      <c r="O1" s="1" t="s">
        <v>33</v>
      </c>
      <c r="P1" s="1" t="s">
        <v>34</v>
      </c>
      <c r="Q1" s="1" t="s">
        <v>35</v>
      </c>
    </row>
    <row r="2" spans="1:17">
      <c r="A2" t="s">
        <v>36</v>
      </c>
      <c r="B2" s="2">
        <v>45923</v>
      </c>
      <c r="C2" t="s">
        <v>37</v>
      </c>
      <c r="D2" t="s">
        <v>38</v>
      </c>
      <c r="E2" t="s">
        <v>39</v>
      </c>
      <c r="F2" t="s">
        <v>40</v>
      </c>
      <c r="G2" s="3">
        <v>6</v>
      </c>
      <c r="H2">
        <v>700</v>
      </c>
      <c r="I2">
        <v>0.1</v>
      </c>
      <c r="J2">
        <v>400</v>
      </c>
      <c r="K2">
        <v>4200</v>
      </c>
      <c r="L2">
        <v>420</v>
      </c>
      <c r="M2">
        <v>2400</v>
      </c>
      <c r="N2">
        <v>1380</v>
      </c>
      <c r="O2" s="4">
        <v>0.32857142857142857</v>
      </c>
      <c r="P2">
        <v>2025</v>
      </c>
      <c r="Q2" t="s">
        <v>41</v>
      </c>
    </row>
    <row r="3" spans="1:17">
      <c r="A3" t="s">
        <v>42</v>
      </c>
      <c r="B3" s="2">
        <v>45670</v>
      </c>
      <c r="C3" t="s">
        <v>43</v>
      </c>
      <c r="D3" t="s">
        <v>44</v>
      </c>
      <c r="E3" t="s">
        <v>45</v>
      </c>
      <c r="F3" t="s">
        <v>46</v>
      </c>
      <c r="G3" s="3">
        <v>1</v>
      </c>
      <c r="H3">
        <v>300</v>
      </c>
      <c r="I3">
        <v>0</v>
      </c>
      <c r="J3">
        <v>180</v>
      </c>
      <c r="K3">
        <v>300</v>
      </c>
      <c r="L3">
        <v>0</v>
      </c>
      <c r="M3">
        <v>180</v>
      </c>
      <c r="N3">
        <v>120</v>
      </c>
      <c r="O3" s="4">
        <v>0.4</v>
      </c>
      <c r="P3">
        <v>2025</v>
      </c>
      <c r="Q3" t="s">
        <v>47</v>
      </c>
    </row>
    <row r="4" spans="1:17">
      <c r="A4" t="s">
        <v>48</v>
      </c>
      <c r="B4" s="2">
        <v>45833</v>
      </c>
      <c r="C4" t="s">
        <v>49</v>
      </c>
      <c r="D4" t="s">
        <v>50</v>
      </c>
      <c r="E4" t="s">
        <v>39</v>
      </c>
      <c r="F4" t="s">
        <v>51</v>
      </c>
      <c r="G4" s="3">
        <v>7</v>
      </c>
      <c r="H4">
        <v>250</v>
      </c>
      <c r="I4">
        <v>0</v>
      </c>
      <c r="J4">
        <v>100</v>
      </c>
      <c r="K4">
        <v>1750</v>
      </c>
      <c r="L4">
        <v>0</v>
      </c>
      <c r="M4">
        <v>700</v>
      </c>
      <c r="N4">
        <v>1050</v>
      </c>
      <c r="O4" s="4">
        <v>0.6</v>
      </c>
      <c r="P4">
        <v>2025</v>
      </c>
      <c r="Q4" t="s">
        <v>52</v>
      </c>
    </row>
    <row r="5" spans="1:17">
      <c r="A5" t="s">
        <v>53</v>
      </c>
      <c r="B5" s="2">
        <v>46098</v>
      </c>
      <c r="C5" t="s">
        <v>54</v>
      </c>
      <c r="D5" t="s">
        <v>55</v>
      </c>
      <c r="E5" t="s">
        <v>39</v>
      </c>
      <c r="F5" t="s">
        <v>56</v>
      </c>
      <c r="G5" s="3">
        <v>1</v>
      </c>
      <c r="H5">
        <v>800</v>
      </c>
      <c r="I5">
        <v>0.15</v>
      </c>
      <c r="J5">
        <v>450</v>
      </c>
      <c r="K5">
        <v>800</v>
      </c>
      <c r="L5">
        <v>120</v>
      </c>
      <c r="M5">
        <v>450</v>
      </c>
      <c r="N5">
        <v>230</v>
      </c>
      <c r="O5" s="4">
        <v>0.28749999999999998</v>
      </c>
      <c r="P5">
        <v>2026</v>
      </c>
      <c r="Q5" t="s">
        <v>57</v>
      </c>
    </row>
    <row r="6" spans="1:17">
      <c r="A6" t="s">
        <v>58</v>
      </c>
      <c r="B6" s="2">
        <v>46014</v>
      </c>
      <c r="C6" t="s">
        <v>37</v>
      </c>
      <c r="D6" t="s">
        <v>50</v>
      </c>
      <c r="E6" t="s">
        <v>59</v>
      </c>
      <c r="F6" t="s">
        <v>60</v>
      </c>
      <c r="G6" s="3">
        <v>2</v>
      </c>
      <c r="H6">
        <v>1500</v>
      </c>
      <c r="I6">
        <v>0.1</v>
      </c>
      <c r="J6">
        <v>900</v>
      </c>
      <c r="K6">
        <v>3000</v>
      </c>
      <c r="L6">
        <v>300</v>
      </c>
      <c r="M6">
        <v>1800</v>
      </c>
      <c r="N6">
        <v>900</v>
      </c>
      <c r="O6" s="4">
        <v>0.3</v>
      </c>
      <c r="P6">
        <v>2025</v>
      </c>
      <c r="Q6" t="s">
        <v>61</v>
      </c>
    </row>
    <row r="7" spans="1:17">
      <c r="A7" t="s">
        <v>62</v>
      </c>
      <c r="B7" s="2">
        <v>45683</v>
      </c>
      <c r="C7" t="s">
        <v>63</v>
      </c>
      <c r="D7" t="s">
        <v>44</v>
      </c>
      <c r="E7" t="s">
        <v>39</v>
      </c>
      <c r="F7" t="s">
        <v>64</v>
      </c>
      <c r="G7" s="3">
        <v>1</v>
      </c>
      <c r="H7">
        <v>2000</v>
      </c>
      <c r="I7">
        <v>0.05</v>
      </c>
      <c r="J7">
        <v>1200</v>
      </c>
      <c r="K7">
        <v>2000</v>
      </c>
      <c r="L7">
        <v>100</v>
      </c>
      <c r="M7">
        <v>1200</v>
      </c>
      <c r="N7">
        <v>700</v>
      </c>
      <c r="O7" s="4">
        <v>0.35</v>
      </c>
      <c r="P7">
        <v>2025</v>
      </c>
      <c r="Q7" t="s">
        <v>47</v>
      </c>
    </row>
    <row r="8" spans="1:17">
      <c r="A8" t="s">
        <v>65</v>
      </c>
      <c r="B8" s="2">
        <v>46207</v>
      </c>
      <c r="C8" t="s">
        <v>66</v>
      </c>
      <c r="D8" t="s">
        <v>38</v>
      </c>
      <c r="E8" t="s">
        <v>45</v>
      </c>
      <c r="F8" t="s">
        <v>67</v>
      </c>
      <c r="G8" s="3">
        <v>8</v>
      </c>
      <c r="H8">
        <v>200</v>
      </c>
      <c r="I8">
        <v>0.15</v>
      </c>
      <c r="J8">
        <v>90</v>
      </c>
      <c r="K8">
        <v>1600</v>
      </c>
      <c r="L8">
        <v>240</v>
      </c>
      <c r="M8">
        <v>720</v>
      </c>
      <c r="N8">
        <v>640</v>
      </c>
      <c r="O8" s="4">
        <v>0.4</v>
      </c>
      <c r="P8">
        <v>2026</v>
      </c>
      <c r="Q8" t="s">
        <v>68</v>
      </c>
    </row>
    <row r="9" spans="1:17">
      <c r="A9" t="s">
        <v>69</v>
      </c>
      <c r="B9" s="2">
        <v>46247</v>
      </c>
      <c r="C9" t="s">
        <v>70</v>
      </c>
      <c r="D9" t="s">
        <v>50</v>
      </c>
      <c r="E9" t="s">
        <v>39</v>
      </c>
      <c r="F9" t="s">
        <v>51</v>
      </c>
      <c r="G9" s="3">
        <v>8</v>
      </c>
      <c r="H9">
        <v>250</v>
      </c>
      <c r="I9">
        <v>0.1</v>
      </c>
      <c r="J9">
        <v>100</v>
      </c>
      <c r="K9">
        <v>2000</v>
      </c>
      <c r="L9">
        <v>200</v>
      </c>
      <c r="M9">
        <v>800</v>
      </c>
      <c r="N9">
        <v>1000</v>
      </c>
      <c r="O9" s="4">
        <v>0.5</v>
      </c>
      <c r="P9">
        <v>2026</v>
      </c>
      <c r="Q9" t="s">
        <v>71</v>
      </c>
    </row>
    <row r="10" spans="1:17">
      <c r="A10" t="s">
        <v>72</v>
      </c>
      <c r="B10" s="2">
        <v>46298</v>
      </c>
      <c r="C10" t="s">
        <v>73</v>
      </c>
      <c r="D10" t="s">
        <v>55</v>
      </c>
      <c r="E10" t="s">
        <v>39</v>
      </c>
      <c r="F10" t="s">
        <v>64</v>
      </c>
      <c r="G10" s="3">
        <v>4</v>
      </c>
      <c r="H10">
        <v>2000</v>
      </c>
      <c r="I10">
        <v>0.1</v>
      </c>
      <c r="J10">
        <v>1200</v>
      </c>
      <c r="K10">
        <v>8000</v>
      </c>
      <c r="L10">
        <v>800</v>
      </c>
      <c r="M10">
        <v>4800</v>
      </c>
      <c r="N10">
        <v>2400</v>
      </c>
      <c r="O10" s="4">
        <v>0.3</v>
      </c>
      <c r="P10">
        <v>2026</v>
      </c>
      <c r="Q10" t="s">
        <v>74</v>
      </c>
    </row>
    <row r="11" spans="1:17">
      <c r="A11" t="s">
        <v>75</v>
      </c>
      <c r="B11" s="2">
        <v>45664</v>
      </c>
      <c r="C11" t="s">
        <v>76</v>
      </c>
      <c r="D11" t="s">
        <v>44</v>
      </c>
      <c r="E11" t="s">
        <v>59</v>
      </c>
      <c r="F11" t="s">
        <v>77</v>
      </c>
      <c r="G11" s="3">
        <v>1</v>
      </c>
      <c r="H11">
        <v>1200</v>
      </c>
      <c r="I11">
        <v>0.05</v>
      </c>
      <c r="J11">
        <v>750</v>
      </c>
      <c r="K11">
        <v>1200</v>
      </c>
      <c r="L11">
        <v>60</v>
      </c>
      <c r="M11">
        <v>750</v>
      </c>
      <c r="N11">
        <v>390</v>
      </c>
      <c r="O11" s="4">
        <v>0.32500000000000001</v>
      </c>
      <c r="P11">
        <v>2025</v>
      </c>
      <c r="Q11" t="s">
        <v>47</v>
      </c>
    </row>
    <row r="12" spans="1:17">
      <c r="A12" t="s">
        <v>78</v>
      </c>
      <c r="B12" s="2">
        <v>46122</v>
      </c>
      <c r="C12" t="s">
        <v>70</v>
      </c>
      <c r="D12" t="s">
        <v>50</v>
      </c>
      <c r="E12" t="s">
        <v>39</v>
      </c>
      <c r="F12" t="s">
        <v>40</v>
      </c>
      <c r="G12" s="3">
        <v>4</v>
      </c>
      <c r="H12">
        <v>700</v>
      </c>
      <c r="I12">
        <v>0.1</v>
      </c>
      <c r="J12">
        <v>400</v>
      </c>
      <c r="K12">
        <v>2800</v>
      </c>
      <c r="L12">
        <v>280</v>
      </c>
      <c r="M12">
        <v>1600</v>
      </c>
      <c r="N12">
        <v>920</v>
      </c>
      <c r="O12" s="4">
        <v>0.32857142857142857</v>
      </c>
      <c r="P12">
        <v>2026</v>
      </c>
      <c r="Q12" t="s">
        <v>79</v>
      </c>
    </row>
    <row r="13" spans="1:17">
      <c r="A13" t="s">
        <v>80</v>
      </c>
      <c r="B13" s="2">
        <v>46123</v>
      </c>
      <c r="C13" t="s">
        <v>81</v>
      </c>
      <c r="D13" t="s">
        <v>38</v>
      </c>
      <c r="E13" t="s">
        <v>82</v>
      </c>
      <c r="F13" t="s">
        <v>83</v>
      </c>
      <c r="G13" s="3">
        <v>5</v>
      </c>
      <c r="H13">
        <v>3500</v>
      </c>
      <c r="I13">
        <v>0</v>
      </c>
      <c r="J13">
        <v>2200</v>
      </c>
      <c r="K13">
        <v>17500</v>
      </c>
      <c r="L13">
        <v>0</v>
      </c>
      <c r="M13">
        <v>11000</v>
      </c>
      <c r="N13">
        <v>6500</v>
      </c>
      <c r="O13" s="4">
        <v>0.37142857142857144</v>
      </c>
      <c r="P13">
        <v>2026</v>
      </c>
      <c r="Q13" t="s">
        <v>79</v>
      </c>
    </row>
    <row r="14" spans="1:17">
      <c r="A14" t="s">
        <v>84</v>
      </c>
      <c r="B14" s="2">
        <v>46076</v>
      </c>
      <c r="C14" t="s">
        <v>85</v>
      </c>
      <c r="D14" t="s">
        <v>38</v>
      </c>
      <c r="E14" t="s">
        <v>82</v>
      </c>
      <c r="F14" t="s">
        <v>86</v>
      </c>
      <c r="G14" s="3">
        <v>1</v>
      </c>
      <c r="H14">
        <v>4500</v>
      </c>
      <c r="I14">
        <v>0</v>
      </c>
      <c r="J14">
        <v>3000</v>
      </c>
      <c r="K14">
        <v>4500</v>
      </c>
      <c r="L14">
        <v>0</v>
      </c>
      <c r="M14">
        <v>3000</v>
      </c>
      <c r="N14">
        <v>1500</v>
      </c>
      <c r="O14" s="4">
        <v>0.33333333333333331</v>
      </c>
      <c r="P14">
        <v>2026</v>
      </c>
      <c r="Q14" t="s">
        <v>87</v>
      </c>
    </row>
    <row r="15" spans="1:17">
      <c r="A15" t="s">
        <v>88</v>
      </c>
      <c r="B15" s="2">
        <v>45768</v>
      </c>
      <c r="C15" t="s">
        <v>89</v>
      </c>
      <c r="D15" t="s">
        <v>50</v>
      </c>
      <c r="E15" t="s">
        <v>59</v>
      </c>
      <c r="F15" t="s">
        <v>90</v>
      </c>
      <c r="G15" s="3">
        <v>7</v>
      </c>
      <c r="H15">
        <v>9000</v>
      </c>
      <c r="I15">
        <v>0</v>
      </c>
      <c r="J15">
        <v>6500</v>
      </c>
      <c r="K15">
        <v>63000</v>
      </c>
      <c r="L15">
        <v>0</v>
      </c>
      <c r="M15">
        <v>45500</v>
      </c>
      <c r="N15">
        <v>17500</v>
      </c>
      <c r="O15" s="4">
        <v>0.27777777777777779</v>
      </c>
      <c r="P15">
        <v>2025</v>
      </c>
      <c r="Q15" t="s">
        <v>79</v>
      </c>
    </row>
    <row r="16" spans="1:17">
      <c r="A16" t="s">
        <v>91</v>
      </c>
      <c r="B16" s="2">
        <v>46053</v>
      </c>
      <c r="C16" t="s">
        <v>92</v>
      </c>
      <c r="D16" t="s">
        <v>55</v>
      </c>
      <c r="E16" t="s">
        <v>59</v>
      </c>
      <c r="F16" t="s">
        <v>60</v>
      </c>
      <c r="G16" s="3">
        <v>6</v>
      </c>
      <c r="H16">
        <v>1500</v>
      </c>
      <c r="I16">
        <v>0</v>
      </c>
      <c r="J16">
        <v>900</v>
      </c>
      <c r="K16">
        <v>9000</v>
      </c>
      <c r="L16">
        <v>0</v>
      </c>
      <c r="M16">
        <v>5400</v>
      </c>
      <c r="N16">
        <v>3600</v>
      </c>
      <c r="O16" s="4">
        <v>0.4</v>
      </c>
      <c r="P16">
        <v>2026</v>
      </c>
      <c r="Q16" t="s">
        <v>47</v>
      </c>
    </row>
    <row r="17" spans="1:17">
      <c r="A17" t="s">
        <v>93</v>
      </c>
      <c r="B17" s="2">
        <v>46018</v>
      </c>
      <c r="C17" t="s">
        <v>94</v>
      </c>
      <c r="D17" t="s">
        <v>55</v>
      </c>
      <c r="E17" t="s">
        <v>45</v>
      </c>
      <c r="F17" t="s">
        <v>95</v>
      </c>
      <c r="G17" s="3">
        <v>7</v>
      </c>
      <c r="H17">
        <v>150</v>
      </c>
      <c r="I17">
        <v>0</v>
      </c>
      <c r="J17">
        <v>60</v>
      </c>
      <c r="K17">
        <v>1050</v>
      </c>
      <c r="L17">
        <v>0</v>
      </c>
      <c r="M17">
        <v>420</v>
      </c>
      <c r="N17">
        <v>630</v>
      </c>
      <c r="O17" s="4">
        <v>0.6</v>
      </c>
      <c r="P17">
        <v>2025</v>
      </c>
      <c r="Q17" t="s">
        <v>61</v>
      </c>
    </row>
    <row r="18" spans="1:17">
      <c r="A18" t="s">
        <v>96</v>
      </c>
      <c r="B18" s="2">
        <v>45973</v>
      </c>
      <c r="C18" t="s">
        <v>97</v>
      </c>
      <c r="D18" t="s">
        <v>50</v>
      </c>
      <c r="E18" t="s">
        <v>45</v>
      </c>
      <c r="F18" t="s">
        <v>67</v>
      </c>
      <c r="G18" s="3">
        <v>3</v>
      </c>
      <c r="H18">
        <v>200</v>
      </c>
      <c r="I18">
        <v>0</v>
      </c>
      <c r="J18">
        <v>90</v>
      </c>
      <c r="K18">
        <v>600</v>
      </c>
      <c r="L18">
        <v>0</v>
      </c>
      <c r="M18">
        <v>270</v>
      </c>
      <c r="N18">
        <v>330</v>
      </c>
      <c r="O18" s="4">
        <v>0.55000000000000004</v>
      </c>
      <c r="P18">
        <v>2025</v>
      </c>
      <c r="Q18" t="s">
        <v>98</v>
      </c>
    </row>
    <row r="19" spans="1:17">
      <c r="A19" t="s">
        <v>99</v>
      </c>
      <c r="B19" s="2">
        <v>46329</v>
      </c>
      <c r="C19" t="s">
        <v>100</v>
      </c>
      <c r="D19" t="s">
        <v>55</v>
      </c>
      <c r="E19" t="s">
        <v>82</v>
      </c>
      <c r="F19" t="s">
        <v>101</v>
      </c>
      <c r="G19" s="3">
        <v>8</v>
      </c>
      <c r="H19">
        <v>4000</v>
      </c>
      <c r="I19">
        <v>0.05</v>
      </c>
      <c r="J19">
        <v>2700</v>
      </c>
      <c r="K19">
        <v>32000</v>
      </c>
      <c r="L19">
        <v>1600</v>
      </c>
      <c r="M19">
        <v>21600</v>
      </c>
      <c r="N19">
        <v>8800</v>
      </c>
      <c r="O19" s="4">
        <v>0.27500000000000002</v>
      </c>
      <c r="P19">
        <v>2026</v>
      </c>
      <c r="Q19" t="s">
        <v>98</v>
      </c>
    </row>
    <row r="20" spans="1:17">
      <c r="A20" t="s">
        <v>102</v>
      </c>
      <c r="B20" s="2">
        <v>46202</v>
      </c>
      <c r="C20" t="s">
        <v>100</v>
      </c>
      <c r="D20" t="s">
        <v>55</v>
      </c>
      <c r="E20" t="s">
        <v>39</v>
      </c>
      <c r="F20" t="s">
        <v>64</v>
      </c>
      <c r="G20" s="3">
        <v>4</v>
      </c>
      <c r="H20">
        <v>2000</v>
      </c>
      <c r="I20">
        <v>0.1</v>
      </c>
      <c r="J20">
        <v>1200</v>
      </c>
      <c r="K20">
        <v>8000</v>
      </c>
      <c r="L20">
        <v>800</v>
      </c>
      <c r="M20">
        <v>4800</v>
      </c>
      <c r="N20">
        <v>2400</v>
      </c>
      <c r="O20" s="4">
        <v>0.3</v>
      </c>
      <c r="P20">
        <v>2026</v>
      </c>
      <c r="Q20" t="s">
        <v>52</v>
      </c>
    </row>
    <row r="21" spans="1:17">
      <c r="A21" t="s">
        <v>103</v>
      </c>
      <c r="B21" s="2">
        <v>45899</v>
      </c>
      <c r="C21" t="s">
        <v>104</v>
      </c>
      <c r="D21" t="s">
        <v>50</v>
      </c>
      <c r="E21" t="s">
        <v>59</v>
      </c>
      <c r="F21" t="s">
        <v>60</v>
      </c>
      <c r="G21" s="3">
        <v>1</v>
      </c>
      <c r="H21">
        <v>1500</v>
      </c>
      <c r="I21">
        <v>0.15</v>
      </c>
      <c r="J21">
        <v>900</v>
      </c>
      <c r="K21">
        <v>1500</v>
      </c>
      <c r="L21">
        <v>225</v>
      </c>
      <c r="M21">
        <v>900</v>
      </c>
      <c r="N21">
        <v>375</v>
      </c>
      <c r="O21" s="4">
        <v>0.25</v>
      </c>
      <c r="P21">
        <v>2025</v>
      </c>
      <c r="Q21" t="s">
        <v>71</v>
      </c>
    </row>
    <row r="22" spans="1:17">
      <c r="A22" t="s">
        <v>105</v>
      </c>
      <c r="B22" s="2">
        <v>45700</v>
      </c>
      <c r="C22" t="s">
        <v>106</v>
      </c>
      <c r="D22" t="s">
        <v>38</v>
      </c>
      <c r="E22" t="s">
        <v>45</v>
      </c>
      <c r="F22" t="s">
        <v>67</v>
      </c>
      <c r="G22" s="3">
        <v>6</v>
      </c>
      <c r="H22">
        <v>200</v>
      </c>
      <c r="I22">
        <v>0.1</v>
      </c>
      <c r="J22">
        <v>90</v>
      </c>
      <c r="K22">
        <v>1200</v>
      </c>
      <c r="L22">
        <v>120</v>
      </c>
      <c r="M22">
        <v>540</v>
      </c>
      <c r="N22">
        <v>540</v>
      </c>
      <c r="O22" s="4">
        <v>0.45</v>
      </c>
      <c r="P22">
        <v>2025</v>
      </c>
      <c r="Q22" t="s">
        <v>87</v>
      </c>
    </row>
    <row r="23" spans="1:17">
      <c r="A23" t="s">
        <v>107</v>
      </c>
      <c r="B23" s="2">
        <v>46014</v>
      </c>
      <c r="C23" t="s">
        <v>108</v>
      </c>
      <c r="D23" t="s">
        <v>38</v>
      </c>
      <c r="E23" t="s">
        <v>82</v>
      </c>
      <c r="F23" t="s">
        <v>86</v>
      </c>
      <c r="G23" s="3">
        <v>8</v>
      </c>
      <c r="H23">
        <v>4500</v>
      </c>
      <c r="I23">
        <v>0.15</v>
      </c>
      <c r="J23">
        <v>3000</v>
      </c>
      <c r="K23">
        <v>36000</v>
      </c>
      <c r="L23">
        <v>5400</v>
      </c>
      <c r="M23">
        <v>24000</v>
      </c>
      <c r="N23">
        <v>6600</v>
      </c>
      <c r="O23" s="4">
        <v>0.18333333333333332</v>
      </c>
      <c r="P23">
        <v>2025</v>
      </c>
      <c r="Q23" t="s">
        <v>61</v>
      </c>
    </row>
    <row r="24" spans="1:17">
      <c r="A24" t="s">
        <v>109</v>
      </c>
      <c r="B24" s="2">
        <v>46051</v>
      </c>
      <c r="C24" t="s">
        <v>110</v>
      </c>
      <c r="D24" t="s">
        <v>50</v>
      </c>
      <c r="E24" t="s">
        <v>39</v>
      </c>
      <c r="F24" t="s">
        <v>64</v>
      </c>
      <c r="G24" s="3">
        <v>7</v>
      </c>
      <c r="H24">
        <v>2000</v>
      </c>
      <c r="I24">
        <v>0.15</v>
      </c>
      <c r="J24">
        <v>1200</v>
      </c>
      <c r="K24">
        <v>14000</v>
      </c>
      <c r="L24">
        <v>2100</v>
      </c>
      <c r="M24">
        <v>8400</v>
      </c>
      <c r="N24">
        <v>3500</v>
      </c>
      <c r="O24" s="4">
        <v>0.25</v>
      </c>
      <c r="P24">
        <v>2026</v>
      </c>
      <c r="Q24" t="s">
        <v>47</v>
      </c>
    </row>
    <row r="25" spans="1:17">
      <c r="A25" t="s">
        <v>111</v>
      </c>
      <c r="B25" s="2">
        <v>45919</v>
      </c>
      <c r="C25" t="s">
        <v>110</v>
      </c>
      <c r="D25" t="s">
        <v>55</v>
      </c>
      <c r="E25" t="s">
        <v>59</v>
      </c>
      <c r="F25" t="s">
        <v>90</v>
      </c>
      <c r="G25" s="3">
        <v>8</v>
      </c>
      <c r="H25">
        <v>9000</v>
      </c>
      <c r="I25">
        <v>0</v>
      </c>
      <c r="J25">
        <v>6500</v>
      </c>
      <c r="K25">
        <v>72000</v>
      </c>
      <c r="L25">
        <v>0</v>
      </c>
      <c r="M25">
        <v>52000</v>
      </c>
      <c r="N25">
        <v>20000</v>
      </c>
      <c r="O25" s="4">
        <v>0.27777777777777779</v>
      </c>
      <c r="P25">
        <v>2025</v>
      </c>
      <c r="Q25" t="s">
        <v>41</v>
      </c>
    </row>
    <row r="26" spans="1:17">
      <c r="A26" t="s">
        <v>112</v>
      </c>
      <c r="B26" s="2">
        <v>46232</v>
      </c>
      <c r="C26" t="s">
        <v>113</v>
      </c>
      <c r="D26" t="s">
        <v>38</v>
      </c>
      <c r="E26" t="s">
        <v>59</v>
      </c>
      <c r="F26" t="s">
        <v>77</v>
      </c>
      <c r="G26" s="3">
        <v>7</v>
      </c>
      <c r="H26">
        <v>1200</v>
      </c>
      <c r="I26">
        <v>0.1</v>
      </c>
      <c r="J26">
        <v>750</v>
      </c>
      <c r="K26">
        <v>8400</v>
      </c>
      <c r="L26">
        <v>840</v>
      </c>
      <c r="M26">
        <v>5250</v>
      </c>
      <c r="N26">
        <v>2310</v>
      </c>
      <c r="O26" s="4">
        <v>0.27500000000000002</v>
      </c>
      <c r="P26">
        <v>2026</v>
      </c>
      <c r="Q26" t="s">
        <v>68</v>
      </c>
    </row>
    <row r="27" spans="1:17">
      <c r="A27" t="s">
        <v>114</v>
      </c>
      <c r="B27" s="2">
        <v>45678</v>
      </c>
      <c r="C27" t="s">
        <v>115</v>
      </c>
      <c r="D27" t="s">
        <v>44</v>
      </c>
      <c r="E27" t="s">
        <v>45</v>
      </c>
      <c r="F27" t="s">
        <v>67</v>
      </c>
      <c r="G27" s="3">
        <v>3</v>
      </c>
      <c r="H27">
        <v>200</v>
      </c>
      <c r="I27">
        <v>0.15</v>
      </c>
      <c r="J27">
        <v>90</v>
      </c>
      <c r="K27">
        <v>600</v>
      </c>
      <c r="L27">
        <v>90</v>
      </c>
      <c r="M27">
        <v>270</v>
      </c>
      <c r="N27">
        <v>240</v>
      </c>
      <c r="O27" s="4">
        <v>0.4</v>
      </c>
      <c r="P27">
        <v>2025</v>
      </c>
      <c r="Q27" t="s">
        <v>47</v>
      </c>
    </row>
    <row r="28" spans="1:17">
      <c r="A28" t="s">
        <v>116</v>
      </c>
      <c r="B28" s="2">
        <v>45765</v>
      </c>
      <c r="C28" t="s">
        <v>117</v>
      </c>
      <c r="D28" t="s">
        <v>44</v>
      </c>
      <c r="E28" t="s">
        <v>82</v>
      </c>
      <c r="F28" t="s">
        <v>101</v>
      </c>
      <c r="G28" s="3">
        <v>1</v>
      </c>
      <c r="H28">
        <v>4000</v>
      </c>
      <c r="I28">
        <v>0.1</v>
      </c>
      <c r="J28">
        <v>2700</v>
      </c>
      <c r="K28">
        <v>4000</v>
      </c>
      <c r="L28">
        <v>400</v>
      </c>
      <c r="M28">
        <v>2700</v>
      </c>
      <c r="N28">
        <v>900</v>
      </c>
      <c r="O28" s="4">
        <v>0.22500000000000001</v>
      </c>
      <c r="P28">
        <v>2025</v>
      </c>
      <c r="Q28" t="s">
        <v>79</v>
      </c>
    </row>
    <row r="29" spans="1:17">
      <c r="A29" t="s">
        <v>118</v>
      </c>
      <c r="B29" s="2">
        <v>45710</v>
      </c>
      <c r="C29" t="s">
        <v>49</v>
      </c>
      <c r="D29" t="s">
        <v>55</v>
      </c>
      <c r="E29" t="s">
        <v>39</v>
      </c>
      <c r="F29" t="s">
        <v>64</v>
      </c>
      <c r="G29" s="3">
        <v>7</v>
      </c>
      <c r="H29">
        <v>2000</v>
      </c>
      <c r="I29">
        <v>0.15</v>
      </c>
      <c r="J29">
        <v>1200</v>
      </c>
      <c r="K29">
        <v>14000</v>
      </c>
      <c r="L29">
        <v>2100</v>
      </c>
      <c r="M29">
        <v>8400</v>
      </c>
      <c r="N29">
        <v>3500</v>
      </c>
      <c r="O29" s="4">
        <v>0.25</v>
      </c>
      <c r="P29">
        <v>2025</v>
      </c>
      <c r="Q29" t="s">
        <v>87</v>
      </c>
    </row>
    <row r="30" spans="1:17">
      <c r="A30" t="s">
        <v>119</v>
      </c>
      <c r="B30" s="2">
        <v>45840</v>
      </c>
      <c r="C30" t="s">
        <v>120</v>
      </c>
      <c r="D30" t="s">
        <v>55</v>
      </c>
      <c r="E30" t="s">
        <v>45</v>
      </c>
      <c r="F30" t="s">
        <v>46</v>
      </c>
      <c r="G30" s="3">
        <v>1</v>
      </c>
      <c r="H30">
        <v>300</v>
      </c>
      <c r="I30">
        <v>0</v>
      </c>
      <c r="J30">
        <v>180</v>
      </c>
      <c r="K30">
        <v>300</v>
      </c>
      <c r="L30">
        <v>0</v>
      </c>
      <c r="M30">
        <v>180</v>
      </c>
      <c r="N30">
        <v>120</v>
      </c>
      <c r="O30" s="4">
        <v>0.4</v>
      </c>
      <c r="P30">
        <v>2025</v>
      </c>
      <c r="Q30" t="s">
        <v>68</v>
      </c>
    </row>
    <row r="31" spans="1:17">
      <c r="A31" t="s">
        <v>121</v>
      </c>
      <c r="B31" s="2">
        <v>45923</v>
      </c>
      <c r="C31" t="s">
        <v>122</v>
      </c>
      <c r="D31" t="s">
        <v>44</v>
      </c>
      <c r="E31" t="s">
        <v>39</v>
      </c>
      <c r="F31" t="s">
        <v>56</v>
      </c>
      <c r="G31" s="3">
        <v>8</v>
      </c>
      <c r="H31">
        <v>800</v>
      </c>
      <c r="I31">
        <v>0.15</v>
      </c>
      <c r="J31">
        <v>450</v>
      </c>
      <c r="K31">
        <v>6400</v>
      </c>
      <c r="L31">
        <v>960</v>
      </c>
      <c r="M31">
        <v>3600</v>
      </c>
      <c r="N31">
        <v>1840</v>
      </c>
      <c r="O31" s="4">
        <v>0.28749999999999998</v>
      </c>
      <c r="P31">
        <v>2025</v>
      </c>
      <c r="Q31" t="s">
        <v>41</v>
      </c>
    </row>
    <row r="32" spans="1:17">
      <c r="A32" t="s">
        <v>123</v>
      </c>
      <c r="B32" s="2">
        <v>45666</v>
      </c>
      <c r="C32" t="s">
        <v>124</v>
      </c>
      <c r="D32" t="s">
        <v>38</v>
      </c>
      <c r="E32" t="s">
        <v>82</v>
      </c>
      <c r="F32" t="s">
        <v>83</v>
      </c>
      <c r="G32" s="3">
        <v>6</v>
      </c>
      <c r="H32">
        <v>3500</v>
      </c>
      <c r="I32">
        <v>0</v>
      </c>
      <c r="J32">
        <v>2200</v>
      </c>
      <c r="K32">
        <v>21000</v>
      </c>
      <c r="L32">
        <v>0</v>
      </c>
      <c r="M32">
        <v>13200</v>
      </c>
      <c r="N32">
        <v>7800</v>
      </c>
      <c r="O32" s="4">
        <v>0.37142857142857144</v>
      </c>
      <c r="P32">
        <v>2025</v>
      </c>
      <c r="Q32" t="s">
        <v>47</v>
      </c>
    </row>
    <row r="33" spans="1:17">
      <c r="A33" t="s">
        <v>125</v>
      </c>
      <c r="B33" s="2">
        <v>45849</v>
      </c>
      <c r="C33" t="s">
        <v>126</v>
      </c>
      <c r="D33" t="s">
        <v>55</v>
      </c>
      <c r="E33" t="s">
        <v>45</v>
      </c>
      <c r="F33" t="s">
        <v>46</v>
      </c>
      <c r="G33" s="3">
        <v>3</v>
      </c>
      <c r="H33">
        <v>300</v>
      </c>
      <c r="I33">
        <v>0.05</v>
      </c>
      <c r="J33">
        <v>180</v>
      </c>
      <c r="K33">
        <v>900</v>
      </c>
      <c r="L33">
        <v>45</v>
      </c>
      <c r="M33">
        <v>540</v>
      </c>
      <c r="N33">
        <v>315</v>
      </c>
      <c r="O33" s="4">
        <v>0.35</v>
      </c>
      <c r="P33">
        <v>2025</v>
      </c>
      <c r="Q33" t="s">
        <v>68</v>
      </c>
    </row>
    <row r="34" spans="1:17">
      <c r="A34" t="s">
        <v>127</v>
      </c>
      <c r="B34" s="2">
        <v>45930</v>
      </c>
      <c r="C34" t="s">
        <v>73</v>
      </c>
      <c r="D34" t="s">
        <v>44</v>
      </c>
      <c r="E34" t="s">
        <v>82</v>
      </c>
      <c r="F34" t="s">
        <v>128</v>
      </c>
      <c r="G34" s="3">
        <v>7</v>
      </c>
      <c r="H34">
        <v>6000</v>
      </c>
      <c r="I34">
        <v>0</v>
      </c>
      <c r="J34">
        <v>4000</v>
      </c>
      <c r="K34">
        <v>42000</v>
      </c>
      <c r="L34">
        <v>0</v>
      </c>
      <c r="M34">
        <v>28000</v>
      </c>
      <c r="N34">
        <v>14000</v>
      </c>
      <c r="O34" s="4">
        <v>0.33333333333333331</v>
      </c>
      <c r="P34">
        <v>2025</v>
      </c>
      <c r="Q34" t="s">
        <v>41</v>
      </c>
    </row>
    <row r="35" spans="1:17">
      <c r="A35" t="s">
        <v>129</v>
      </c>
      <c r="B35" s="2">
        <v>45966</v>
      </c>
      <c r="C35" t="s">
        <v>89</v>
      </c>
      <c r="D35" t="s">
        <v>38</v>
      </c>
      <c r="E35" t="s">
        <v>45</v>
      </c>
      <c r="F35" t="s">
        <v>46</v>
      </c>
      <c r="G35" s="3">
        <v>3</v>
      </c>
      <c r="H35">
        <v>300</v>
      </c>
      <c r="I35">
        <v>0</v>
      </c>
      <c r="J35">
        <v>180</v>
      </c>
      <c r="K35">
        <v>900</v>
      </c>
      <c r="L35">
        <v>0</v>
      </c>
      <c r="M35">
        <v>540</v>
      </c>
      <c r="N35">
        <v>360</v>
      </c>
      <c r="O35" s="4">
        <v>0.4</v>
      </c>
      <c r="P35">
        <v>2025</v>
      </c>
      <c r="Q35" t="s">
        <v>98</v>
      </c>
    </row>
    <row r="36" spans="1:17">
      <c r="A36" t="s">
        <v>130</v>
      </c>
      <c r="B36" s="2">
        <v>46382</v>
      </c>
      <c r="C36" t="s">
        <v>97</v>
      </c>
      <c r="D36" t="s">
        <v>55</v>
      </c>
      <c r="E36" t="s">
        <v>59</v>
      </c>
      <c r="F36" t="s">
        <v>77</v>
      </c>
      <c r="G36" s="3">
        <v>8</v>
      </c>
      <c r="H36">
        <v>1200</v>
      </c>
      <c r="I36">
        <v>0.05</v>
      </c>
      <c r="J36">
        <v>750</v>
      </c>
      <c r="K36">
        <v>9600</v>
      </c>
      <c r="L36">
        <v>480</v>
      </c>
      <c r="M36">
        <v>6000</v>
      </c>
      <c r="N36">
        <v>3120</v>
      </c>
      <c r="O36" s="4">
        <v>0.32500000000000001</v>
      </c>
      <c r="P36">
        <v>2026</v>
      </c>
      <c r="Q36" t="s">
        <v>61</v>
      </c>
    </row>
    <row r="37" spans="1:17">
      <c r="A37" t="s">
        <v>131</v>
      </c>
      <c r="B37" s="2">
        <v>45773</v>
      </c>
      <c r="C37" t="s">
        <v>49</v>
      </c>
      <c r="D37" t="s">
        <v>38</v>
      </c>
      <c r="E37" t="s">
        <v>39</v>
      </c>
      <c r="F37" t="s">
        <v>56</v>
      </c>
      <c r="G37" s="3">
        <v>4</v>
      </c>
      <c r="H37">
        <v>800</v>
      </c>
      <c r="I37">
        <v>0.1</v>
      </c>
      <c r="J37">
        <v>450</v>
      </c>
      <c r="K37">
        <v>3200</v>
      </c>
      <c r="L37">
        <v>320</v>
      </c>
      <c r="M37">
        <v>1800</v>
      </c>
      <c r="N37">
        <v>1080</v>
      </c>
      <c r="O37" s="4">
        <v>0.33750000000000002</v>
      </c>
      <c r="P37">
        <v>2025</v>
      </c>
      <c r="Q37" t="s">
        <v>79</v>
      </c>
    </row>
    <row r="38" spans="1:17">
      <c r="A38" t="s">
        <v>132</v>
      </c>
      <c r="B38" s="2">
        <v>45676</v>
      </c>
      <c r="C38" t="s">
        <v>133</v>
      </c>
      <c r="D38" t="s">
        <v>44</v>
      </c>
      <c r="E38" t="s">
        <v>59</v>
      </c>
      <c r="F38" t="s">
        <v>77</v>
      </c>
      <c r="G38" s="3">
        <v>6</v>
      </c>
      <c r="H38">
        <v>1200</v>
      </c>
      <c r="I38">
        <v>0</v>
      </c>
      <c r="J38">
        <v>750</v>
      </c>
      <c r="K38">
        <v>7200</v>
      </c>
      <c r="L38">
        <v>0</v>
      </c>
      <c r="M38">
        <v>4500</v>
      </c>
      <c r="N38">
        <v>2700</v>
      </c>
      <c r="O38" s="4">
        <v>0.375</v>
      </c>
      <c r="P38">
        <v>2025</v>
      </c>
      <c r="Q38" t="s">
        <v>47</v>
      </c>
    </row>
    <row r="39" spans="1:17">
      <c r="A39" t="s">
        <v>134</v>
      </c>
      <c r="B39" s="2">
        <v>46115</v>
      </c>
      <c r="C39" t="s">
        <v>135</v>
      </c>
      <c r="D39" t="s">
        <v>44</v>
      </c>
      <c r="E39" t="s">
        <v>82</v>
      </c>
      <c r="F39" t="s">
        <v>128</v>
      </c>
      <c r="G39" s="3">
        <v>2</v>
      </c>
      <c r="H39">
        <v>6000</v>
      </c>
      <c r="I39">
        <v>0.1</v>
      </c>
      <c r="J39">
        <v>4000</v>
      </c>
      <c r="K39">
        <v>12000</v>
      </c>
      <c r="L39">
        <v>1200</v>
      </c>
      <c r="M39">
        <v>8000</v>
      </c>
      <c r="N39">
        <v>2800</v>
      </c>
      <c r="O39" s="4">
        <v>0.23333333333333334</v>
      </c>
      <c r="P39">
        <v>2026</v>
      </c>
      <c r="Q39" t="s">
        <v>79</v>
      </c>
    </row>
    <row r="40" spans="1:17">
      <c r="A40" t="s">
        <v>136</v>
      </c>
      <c r="B40" s="2">
        <v>45685</v>
      </c>
      <c r="C40" t="s">
        <v>137</v>
      </c>
      <c r="D40" t="s">
        <v>38</v>
      </c>
      <c r="E40" t="s">
        <v>82</v>
      </c>
      <c r="F40" t="s">
        <v>83</v>
      </c>
      <c r="G40" s="3">
        <v>7</v>
      </c>
      <c r="H40">
        <v>3500</v>
      </c>
      <c r="I40">
        <v>0.05</v>
      </c>
      <c r="J40">
        <v>2200</v>
      </c>
      <c r="K40">
        <v>24500</v>
      </c>
      <c r="L40">
        <v>1225</v>
      </c>
      <c r="M40">
        <v>15400</v>
      </c>
      <c r="N40">
        <v>7875</v>
      </c>
      <c r="O40" s="4">
        <v>0.32142857142857145</v>
      </c>
      <c r="P40">
        <v>2025</v>
      </c>
      <c r="Q40" t="s">
        <v>47</v>
      </c>
    </row>
    <row r="41" spans="1:17">
      <c r="A41" t="s">
        <v>138</v>
      </c>
      <c r="B41" s="2">
        <v>46191</v>
      </c>
      <c r="C41" t="s">
        <v>139</v>
      </c>
      <c r="D41" t="s">
        <v>38</v>
      </c>
      <c r="E41" t="s">
        <v>39</v>
      </c>
      <c r="F41" t="s">
        <v>40</v>
      </c>
      <c r="G41" s="3">
        <v>7</v>
      </c>
      <c r="H41">
        <v>700</v>
      </c>
      <c r="I41">
        <v>0</v>
      </c>
      <c r="J41">
        <v>400</v>
      </c>
      <c r="K41">
        <v>4900</v>
      </c>
      <c r="L41">
        <v>0</v>
      </c>
      <c r="M41">
        <v>2800</v>
      </c>
      <c r="N41">
        <v>2100</v>
      </c>
      <c r="O41" s="4">
        <v>0.42857142857142855</v>
      </c>
      <c r="P41">
        <v>2026</v>
      </c>
      <c r="Q41" t="s">
        <v>52</v>
      </c>
    </row>
    <row r="42" spans="1:17">
      <c r="A42" t="s">
        <v>140</v>
      </c>
      <c r="B42" s="2">
        <v>45829</v>
      </c>
      <c r="C42" t="s">
        <v>141</v>
      </c>
      <c r="D42" t="s">
        <v>55</v>
      </c>
      <c r="E42" t="s">
        <v>59</v>
      </c>
      <c r="F42" t="s">
        <v>77</v>
      </c>
      <c r="G42" s="3">
        <v>3</v>
      </c>
      <c r="H42">
        <v>1200</v>
      </c>
      <c r="I42">
        <v>0.1</v>
      </c>
      <c r="J42">
        <v>750</v>
      </c>
      <c r="K42">
        <v>3600</v>
      </c>
      <c r="L42">
        <v>360</v>
      </c>
      <c r="M42">
        <v>2250</v>
      </c>
      <c r="N42">
        <v>990</v>
      </c>
      <c r="O42" s="4">
        <v>0.27500000000000002</v>
      </c>
      <c r="P42">
        <v>2025</v>
      </c>
      <c r="Q42" t="s">
        <v>52</v>
      </c>
    </row>
    <row r="43" spans="1:17">
      <c r="A43" t="s">
        <v>142</v>
      </c>
      <c r="B43" s="2">
        <v>45820</v>
      </c>
      <c r="C43" t="s">
        <v>143</v>
      </c>
      <c r="D43" t="s">
        <v>50</v>
      </c>
      <c r="E43" t="s">
        <v>82</v>
      </c>
      <c r="F43" t="s">
        <v>128</v>
      </c>
      <c r="G43" s="3">
        <v>6</v>
      </c>
      <c r="H43">
        <v>6000</v>
      </c>
      <c r="I43">
        <v>0.15</v>
      </c>
      <c r="J43">
        <v>4000</v>
      </c>
      <c r="K43">
        <v>36000</v>
      </c>
      <c r="L43">
        <v>5400</v>
      </c>
      <c r="M43">
        <v>24000</v>
      </c>
      <c r="N43">
        <v>6600</v>
      </c>
      <c r="O43" s="4">
        <v>0.18333333333333332</v>
      </c>
      <c r="P43">
        <v>2025</v>
      </c>
      <c r="Q43" t="s">
        <v>52</v>
      </c>
    </row>
    <row r="44" spans="1:17">
      <c r="A44" t="s">
        <v>144</v>
      </c>
      <c r="B44" s="2">
        <v>46144</v>
      </c>
      <c r="C44" t="s">
        <v>94</v>
      </c>
      <c r="D44" t="s">
        <v>55</v>
      </c>
      <c r="E44" t="s">
        <v>45</v>
      </c>
      <c r="F44" t="s">
        <v>95</v>
      </c>
      <c r="G44" s="3">
        <v>5</v>
      </c>
      <c r="H44">
        <v>150</v>
      </c>
      <c r="I44">
        <v>0.05</v>
      </c>
      <c r="J44">
        <v>60</v>
      </c>
      <c r="K44">
        <v>750</v>
      </c>
      <c r="L44">
        <v>37.5</v>
      </c>
      <c r="M44">
        <v>300</v>
      </c>
      <c r="N44">
        <v>412.5</v>
      </c>
      <c r="O44" s="4">
        <v>0.55000000000000004</v>
      </c>
      <c r="P44">
        <v>2026</v>
      </c>
      <c r="Q44" t="s">
        <v>145</v>
      </c>
    </row>
    <row r="45" spans="1:17">
      <c r="A45" t="s">
        <v>146</v>
      </c>
      <c r="B45" s="2">
        <v>46048</v>
      </c>
      <c r="C45" t="s">
        <v>122</v>
      </c>
      <c r="D45" t="s">
        <v>44</v>
      </c>
      <c r="E45" t="s">
        <v>45</v>
      </c>
      <c r="F45" t="s">
        <v>46</v>
      </c>
      <c r="G45" s="3">
        <v>5</v>
      </c>
      <c r="H45">
        <v>300</v>
      </c>
      <c r="I45">
        <v>0</v>
      </c>
      <c r="J45">
        <v>180</v>
      </c>
      <c r="K45">
        <v>1500</v>
      </c>
      <c r="L45">
        <v>0</v>
      </c>
      <c r="M45">
        <v>900</v>
      </c>
      <c r="N45">
        <v>600</v>
      </c>
      <c r="O45" s="4">
        <v>0.4</v>
      </c>
      <c r="P45">
        <v>2026</v>
      </c>
      <c r="Q45" t="s">
        <v>47</v>
      </c>
    </row>
    <row r="46" spans="1:17">
      <c r="A46" t="s">
        <v>147</v>
      </c>
      <c r="B46" s="2">
        <v>46330</v>
      </c>
      <c r="C46" t="s">
        <v>148</v>
      </c>
      <c r="D46" t="s">
        <v>55</v>
      </c>
      <c r="E46" t="s">
        <v>45</v>
      </c>
      <c r="F46" t="s">
        <v>46</v>
      </c>
      <c r="G46" s="3">
        <v>3</v>
      </c>
      <c r="H46">
        <v>300</v>
      </c>
      <c r="I46">
        <v>0</v>
      </c>
      <c r="J46">
        <v>180</v>
      </c>
      <c r="K46">
        <v>900</v>
      </c>
      <c r="L46">
        <v>0</v>
      </c>
      <c r="M46">
        <v>540</v>
      </c>
      <c r="N46">
        <v>360</v>
      </c>
      <c r="O46" s="4">
        <v>0.4</v>
      </c>
      <c r="P46">
        <v>2026</v>
      </c>
      <c r="Q46" t="s">
        <v>98</v>
      </c>
    </row>
    <row r="47" spans="1:17">
      <c r="A47" t="s">
        <v>149</v>
      </c>
      <c r="B47" s="2">
        <v>45952</v>
      </c>
      <c r="C47" t="s">
        <v>117</v>
      </c>
      <c r="D47" t="s">
        <v>50</v>
      </c>
      <c r="E47" t="s">
        <v>39</v>
      </c>
      <c r="F47" t="s">
        <v>40</v>
      </c>
      <c r="G47" s="3">
        <v>2</v>
      </c>
      <c r="H47">
        <v>700</v>
      </c>
      <c r="I47">
        <v>0.05</v>
      </c>
      <c r="J47">
        <v>400</v>
      </c>
      <c r="K47">
        <v>1400</v>
      </c>
      <c r="L47">
        <v>70</v>
      </c>
      <c r="M47">
        <v>800</v>
      </c>
      <c r="N47">
        <v>530</v>
      </c>
      <c r="O47" s="4">
        <v>0.37857142857142856</v>
      </c>
      <c r="P47">
        <v>2025</v>
      </c>
      <c r="Q47" t="s">
        <v>74</v>
      </c>
    </row>
    <row r="48" spans="1:17">
      <c r="A48" t="s">
        <v>150</v>
      </c>
      <c r="B48" s="2">
        <v>45696</v>
      </c>
      <c r="C48" t="s">
        <v>151</v>
      </c>
      <c r="D48" t="s">
        <v>55</v>
      </c>
      <c r="E48" t="s">
        <v>59</v>
      </c>
      <c r="F48" t="s">
        <v>90</v>
      </c>
      <c r="G48" s="3">
        <v>8</v>
      </c>
      <c r="H48">
        <v>9000</v>
      </c>
      <c r="I48">
        <v>0.15</v>
      </c>
      <c r="J48">
        <v>6500</v>
      </c>
      <c r="K48">
        <v>72000</v>
      </c>
      <c r="L48">
        <v>10800</v>
      </c>
      <c r="M48">
        <v>52000</v>
      </c>
      <c r="N48">
        <v>9200</v>
      </c>
      <c r="O48" s="4">
        <v>0.12777777777777777</v>
      </c>
      <c r="P48">
        <v>2025</v>
      </c>
      <c r="Q48" t="s">
        <v>87</v>
      </c>
    </row>
    <row r="49" spans="1:17">
      <c r="A49" t="s">
        <v>152</v>
      </c>
      <c r="B49" s="2">
        <v>45690</v>
      </c>
      <c r="C49" t="s">
        <v>153</v>
      </c>
      <c r="D49" t="s">
        <v>50</v>
      </c>
      <c r="E49" t="s">
        <v>39</v>
      </c>
      <c r="F49" t="s">
        <v>56</v>
      </c>
      <c r="G49" s="3">
        <v>4</v>
      </c>
      <c r="H49">
        <v>800</v>
      </c>
      <c r="I49">
        <v>0.15</v>
      </c>
      <c r="J49">
        <v>450</v>
      </c>
      <c r="K49">
        <v>3200</v>
      </c>
      <c r="L49">
        <v>480</v>
      </c>
      <c r="M49">
        <v>1800</v>
      </c>
      <c r="N49">
        <v>920</v>
      </c>
      <c r="O49" s="4">
        <v>0.28749999999999998</v>
      </c>
      <c r="P49">
        <v>2025</v>
      </c>
      <c r="Q49" t="s">
        <v>87</v>
      </c>
    </row>
    <row r="50" spans="1:17">
      <c r="A50" t="s">
        <v>154</v>
      </c>
      <c r="B50" s="2">
        <v>46360</v>
      </c>
      <c r="C50" t="s">
        <v>155</v>
      </c>
      <c r="D50" t="s">
        <v>50</v>
      </c>
      <c r="E50" t="s">
        <v>59</v>
      </c>
      <c r="F50" t="s">
        <v>60</v>
      </c>
      <c r="G50" s="3">
        <v>6</v>
      </c>
      <c r="H50">
        <v>1500</v>
      </c>
      <c r="I50">
        <v>0</v>
      </c>
      <c r="J50">
        <v>900</v>
      </c>
      <c r="K50">
        <v>9000</v>
      </c>
      <c r="L50">
        <v>0</v>
      </c>
      <c r="M50">
        <v>5400</v>
      </c>
      <c r="N50">
        <v>3600</v>
      </c>
      <c r="O50" s="4">
        <v>0.4</v>
      </c>
      <c r="P50">
        <v>2026</v>
      </c>
      <c r="Q50" t="s">
        <v>61</v>
      </c>
    </row>
    <row r="51" spans="1:17">
      <c r="A51" t="s">
        <v>156</v>
      </c>
      <c r="B51" s="2">
        <v>46176</v>
      </c>
      <c r="C51" t="s">
        <v>157</v>
      </c>
      <c r="D51" t="s">
        <v>50</v>
      </c>
      <c r="E51" t="s">
        <v>59</v>
      </c>
      <c r="F51" t="s">
        <v>158</v>
      </c>
      <c r="G51" s="3">
        <v>6</v>
      </c>
      <c r="H51">
        <v>500</v>
      </c>
      <c r="I51">
        <v>0.1</v>
      </c>
      <c r="J51">
        <v>250</v>
      </c>
      <c r="K51">
        <v>3000</v>
      </c>
      <c r="L51">
        <v>300</v>
      </c>
      <c r="M51">
        <v>1500</v>
      </c>
      <c r="N51">
        <v>1200</v>
      </c>
      <c r="O51" s="4">
        <v>0.4</v>
      </c>
      <c r="P51">
        <v>2026</v>
      </c>
      <c r="Q51" t="s">
        <v>52</v>
      </c>
    </row>
    <row r="52" spans="1:17">
      <c r="A52" t="s">
        <v>159</v>
      </c>
      <c r="B52" s="2">
        <v>45998</v>
      </c>
      <c r="C52" t="s">
        <v>160</v>
      </c>
      <c r="D52" t="s">
        <v>55</v>
      </c>
      <c r="E52" t="s">
        <v>39</v>
      </c>
      <c r="F52" t="s">
        <v>56</v>
      </c>
      <c r="G52" s="3">
        <v>3</v>
      </c>
      <c r="H52">
        <v>800</v>
      </c>
      <c r="I52">
        <v>0.15</v>
      </c>
      <c r="J52">
        <v>450</v>
      </c>
      <c r="K52">
        <v>2400</v>
      </c>
      <c r="L52">
        <v>360</v>
      </c>
      <c r="M52">
        <v>1350</v>
      </c>
      <c r="N52">
        <v>690</v>
      </c>
      <c r="O52" s="4">
        <v>0.28749999999999998</v>
      </c>
      <c r="P52">
        <v>2025</v>
      </c>
      <c r="Q52" t="s">
        <v>61</v>
      </c>
    </row>
    <row r="53" spans="1:17">
      <c r="A53" t="s">
        <v>161</v>
      </c>
      <c r="B53" s="2">
        <v>46245</v>
      </c>
      <c r="C53" t="s">
        <v>162</v>
      </c>
      <c r="D53" t="s">
        <v>44</v>
      </c>
      <c r="E53" t="s">
        <v>59</v>
      </c>
      <c r="F53" t="s">
        <v>60</v>
      </c>
      <c r="G53" s="3">
        <v>7</v>
      </c>
      <c r="H53">
        <v>1500</v>
      </c>
      <c r="I53">
        <v>0.15</v>
      </c>
      <c r="J53">
        <v>900</v>
      </c>
      <c r="K53">
        <v>10500</v>
      </c>
      <c r="L53">
        <v>1575</v>
      </c>
      <c r="M53">
        <v>6300</v>
      </c>
      <c r="N53">
        <v>2625</v>
      </c>
      <c r="O53" s="4">
        <v>0.25</v>
      </c>
      <c r="P53">
        <v>2026</v>
      </c>
      <c r="Q53" t="s">
        <v>71</v>
      </c>
    </row>
    <row r="54" spans="1:17">
      <c r="A54" t="s">
        <v>163</v>
      </c>
      <c r="B54" s="2">
        <v>45907</v>
      </c>
      <c r="C54" t="s">
        <v>113</v>
      </c>
      <c r="D54" t="s">
        <v>44</v>
      </c>
      <c r="E54" t="s">
        <v>82</v>
      </c>
      <c r="F54" t="s">
        <v>86</v>
      </c>
      <c r="G54" s="3">
        <v>5</v>
      </c>
      <c r="H54">
        <v>4500</v>
      </c>
      <c r="I54">
        <v>0</v>
      </c>
      <c r="J54">
        <v>3000</v>
      </c>
      <c r="K54">
        <v>22500</v>
      </c>
      <c r="L54">
        <v>0</v>
      </c>
      <c r="M54">
        <v>15000</v>
      </c>
      <c r="N54">
        <v>7500</v>
      </c>
      <c r="O54" s="4">
        <v>0.33333333333333331</v>
      </c>
      <c r="P54">
        <v>2025</v>
      </c>
      <c r="Q54" t="s">
        <v>41</v>
      </c>
    </row>
    <row r="55" spans="1:17">
      <c r="A55" t="s">
        <v>164</v>
      </c>
      <c r="B55" s="2">
        <v>45881</v>
      </c>
      <c r="C55" t="s">
        <v>165</v>
      </c>
      <c r="D55" t="s">
        <v>50</v>
      </c>
      <c r="E55" t="s">
        <v>82</v>
      </c>
      <c r="F55" t="s">
        <v>101</v>
      </c>
      <c r="G55" s="3">
        <v>1</v>
      </c>
      <c r="H55">
        <v>4000</v>
      </c>
      <c r="I55">
        <v>0</v>
      </c>
      <c r="J55">
        <v>2700</v>
      </c>
      <c r="K55">
        <v>4000</v>
      </c>
      <c r="L55">
        <v>0</v>
      </c>
      <c r="M55">
        <v>2700</v>
      </c>
      <c r="N55">
        <v>1300</v>
      </c>
      <c r="O55" s="4">
        <v>0.32500000000000001</v>
      </c>
      <c r="P55">
        <v>2025</v>
      </c>
      <c r="Q55" t="s">
        <v>71</v>
      </c>
    </row>
    <row r="56" spans="1:17">
      <c r="A56" t="s">
        <v>166</v>
      </c>
      <c r="B56" s="2">
        <v>45969</v>
      </c>
      <c r="C56" t="s">
        <v>162</v>
      </c>
      <c r="D56" t="s">
        <v>38</v>
      </c>
      <c r="E56" t="s">
        <v>59</v>
      </c>
      <c r="F56" t="s">
        <v>158</v>
      </c>
      <c r="G56" s="3">
        <v>1</v>
      </c>
      <c r="H56">
        <v>500</v>
      </c>
      <c r="I56">
        <v>0.05</v>
      </c>
      <c r="J56">
        <v>250</v>
      </c>
      <c r="K56">
        <v>500</v>
      </c>
      <c r="L56">
        <v>25</v>
      </c>
      <c r="M56">
        <v>250</v>
      </c>
      <c r="N56">
        <v>225</v>
      </c>
      <c r="O56" s="4">
        <v>0.45</v>
      </c>
      <c r="P56">
        <v>2025</v>
      </c>
      <c r="Q56" t="s">
        <v>98</v>
      </c>
    </row>
    <row r="57" spans="1:17">
      <c r="A57" t="s">
        <v>167</v>
      </c>
      <c r="B57" s="2">
        <v>45841</v>
      </c>
      <c r="C57" t="s">
        <v>104</v>
      </c>
      <c r="D57" t="s">
        <v>44</v>
      </c>
      <c r="E57" t="s">
        <v>45</v>
      </c>
      <c r="F57" t="s">
        <v>168</v>
      </c>
      <c r="G57" s="3">
        <v>3</v>
      </c>
      <c r="H57">
        <v>100</v>
      </c>
      <c r="I57">
        <v>0.15</v>
      </c>
      <c r="J57">
        <v>40</v>
      </c>
      <c r="K57">
        <v>300</v>
      </c>
      <c r="L57">
        <v>45</v>
      </c>
      <c r="M57">
        <v>120</v>
      </c>
      <c r="N57">
        <v>135</v>
      </c>
      <c r="O57" s="4">
        <v>0.45</v>
      </c>
      <c r="P57">
        <v>2025</v>
      </c>
      <c r="Q57" t="s">
        <v>68</v>
      </c>
    </row>
    <row r="58" spans="1:17">
      <c r="A58" t="s">
        <v>169</v>
      </c>
      <c r="B58" s="2">
        <v>45844</v>
      </c>
      <c r="C58" t="s">
        <v>170</v>
      </c>
      <c r="D58" t="s">
        <v>50</v>
      </c>
      <c r="E58" t="s">
        <v>39</v>
      </c>
      <c r="F58" t="s">
        <v>51</v>
      </c>
      <c r="G58" s="3">
        <v>2</v>
      </c>
      <c r="H58">
        <v>250</v>
      </c>
      <c r="I58">
        <v>0.15</v>
      </c>
      <c r="J58">
        <v>100</v>
      </c>
      <c r="K58">
        <v>500</v>
      </c>
      <c r="L58">
        <v>75</v>
      </c>
      <c r="M58">
        <v>200</v>
      </c>
      <c r="N58">
        <v>225</v>
      </c>
      <c r="O58" s="4">
        <v>0.45</v>
      </c>
      <c r="P58">
        <v>2025</v>
      </c>
      <c r="Q58" t="s">
        <v>68</v>
      </c>
    </row>
    <row r="59" spans="1:17">
      <c r="A59" t="s">
        <v>171</v>
      </c>
      <c r="B59" s="2">
        <v>46010</v>
      </c>
      <c r="C59" t="s">
        <v>172</v>
      </c>
      <c r="D59" t="s">
        <v>44</v>
      </c>
      <c r="E59" t="s">
        <v>59</v>
      </c>
      <c r="F59" t="s">
        <v>90</v>
      </c>
      <c r="G59" s="3">
        <v>4</v>
      </c>
      <c r="H59">
        <v>9000</v>
      </c>
      <c r="I59">
        <v>0.15</v>
      </c>
      <c r="J59">
        <v>6500</v>
      </c>
      <c r="K59">
        <v>36000</v>
      </c>
      <c r="L59">
        <v>5400</v>
      </c>
      <c r="M59">
        <v>26000</v>
      </c>
      <c r="N59">
        <v>4600</v>
      </c>
      <c r="O59" s="4">
        <v>0.12777777777777777</v>
      </c>
      <c r="P59">
        <v>2025</v>
      </c>
      <c r="Q59" t="s">
        <v>61</v>
      </c>
    </row>
    <row r="60" spans="1:17">
      <c r="A60" t="s">
        <v>173</v>
      </c>
      <c r="B60" s="2">
        <v>45933</v>
      </c>
      <c r="C60" t="s">
        <v>174</v>
      </c>
      <c r="D60" t="s">
        <v>38</v>
      </c>
      <c r="E60" t="s">
        <v>39</v>
      </c>
      <c r="F60" t="s">
        <v>40</v>
      </c>
      <c r="G60" s="3">
        <v>3</v>
      </c>
      <c r="H60">
        <v>700</v>
      </c>
      <c r="I60">
        <v>0</v>
      </c>
      <c r="J60">
        <v>400</v>
      </c>
      <c r="K60">
        <v>2100</v>
      </c>
      <c r="L60">
        <v>0</v>
      </c>
      <c r="M60">
        <v>1200</v>
      </c>
      <c r="N60">
        <v>900</v>
      </c>
      <c r="O60" s="4">
        <v>0.42857142857142855</v>
      </c>
      <c r="P60">
        <v>2025</v>
      </c>
      <c r="Q60" t="s">
        <v>74</v>
      </c>
    </row>
    <row r="61" spans="1:17">
      <c r="A61" t="s">
        <v>175</v>
      </c>
      <c r="B61" s="2">
        <v>45794</v>
      </c>
      <c r="C61" t="s">
        <v>176</v>
      </c>
      <c r="D61" t="s">
        <v>55</v>
      </c>
      <c r="E61" t="s">
        <v>59</v>
      </c>
      <c r="F61" t="s">
        <v>60</v>
      </c>
      <c r="G61" s="3">
        <v>1</v>
      </c>
      <c r="H61">
        <v>1500</v>
      </c>
      <c r="I61">
        <v>0.05</v>
      </c>
      <c r="J61">
        <v>900</v>
      </c>
      <c r="K61">
        <v>1500</v>
      </c>
      <c r="L61">
        <v>75</v>
      </c>
      <c r="M61">
        <v>900</v>
      </c>
      <c r="N61">
        <v>525</v>
      </c>
      <c r="O61" s="4">
        <v>0.35</v>
      </c>
      <c r="P61">
        <v>2025</v>
      </c>
      <c r="Q61" t="s">
        <v>145</v>
      </c>
    </row>
    <row r="62" spans="1:17">
      <c r="A62" t="s">
        <v>177</v>
      </c>
      <c r="B62" s="2">
        <v>46226</v>
      </c>
      <c r="C62" t="s">
        <v>100</v>
      </c>
      <c r="D62" t="s">
        <v>44</v>
      </c>
      <c r="E62" t="s">
        <v>39</v>
      </c>
      <c r="F62" t="s">
        <v>40</v>
      </c>
      <c r="G62" s="3">
        <v>7</v>
      </c>
      <c r="H62">
        <v>700</v>
      </c>
      <c r="I62">
        <v>0.1</v>
      </c>
      <c r="J62">
        <v>400</v>
      </c>
      <c r="K62">
        <v>4900</v>
      </c>
      <c r="L62">
        <v>490</v>
      </c>
      <c r="M62">
        <v>2800</v>
      </c>
      <c r="N62">
        <v>1610</v>
      </c>
      <c r="O62" s="4">
        <v>0.32857142857142857</v>
      </c>
      <c r="P62">
        <v>2026</v>
      </c>
      <c r="Q62" t="s">
        <v>68</v>
      </c>
    </row>
    <row r="63" spans="1:17">
      <c r="A63" t="s">
        <v>178</v>
      </c>
      <c r="B63" s="2">
        <v>45717</v>
      </c>
      <c r="C63" t="s">
        <v>135</v>
      </c>
      <c r="D63" t="s">
        <v>50</v>
      </c>
      <c r="E63" t="s">
        <v>45</v>
      </c>
      <c r="F63" t="s">
        <v>168</v>
      </c>
      <c r="G63" s="3">
        <v>4</v>
      </c>
      <c r="H63">
        <v>100</v>
      </c>
      <c r="I63">
        <v>0.1</v>
      </c>
      <c r="J63">
        <v>40</v>
      </c>
      <c r="K63">
        <v>400</v>
      </c>
      <c r="L63">
        <v>40</v>
      </c>
      <c r="M63">
        <v>160</v>
      </c>
      <c r="N63">
        <v>200</v>
      </c>
      <c r="O63" s="4">
        <v>0.5</v>
      </c>
      <c r="P63">
        <v>2025</v>
      </c>
      <c r="Q63" t="s">
        <v>57</v>
      </c>
    </row>
    <row r="64" spans="1:17">
      <c r="A64" t="s">
        <v>179</v>
      </c>
      <c r="B64" s="2">
        <v>46274</v>
      </c>
      <c r="C64" t="s">
        <v>160</v>
      </c>
      <c r="D64" t="s">
        <v>44</v>
      </c>
      <c r="E64" t="s">
        <v>82</v>
      </c>
      <c r="F64" t="s">
        <v>83</v>
      </c>
      <c r="G64" s="3">
        <v>2</v>
      </c>
      <c r="H64">
        <v>3500</v>
      </c>
      <c r="I64">
        <v>0.05</v>
      </c>
      <c r="J64">
        <v>2200</v>
      </c>
      <c r="K64">
        <v>7000</v>
      </c>
      <c r="L64">
        <v>350</v>
      </c>
      <c r="M64">
        <v>4400</v>
      </c>
      <c r="N64">
        <v>2250</v>
      </c>
      <c r="O64" s="4">
        <v>0.32142857142857145</v>
      </c>
      <c r="P64">
        <v>2026</v>
      </c>
      <c r="Q64" t="s">
        <v>41</v>
      </c>
    </row>
    <row r="65" spans="1:17">
      <c r="A65" t="s">
        <v>180</v>
      </c>
      <c r="B65" s="2">
        <v>45726</v>
      </c>
      <c r="C65" t="s">
        <v>181</v>
      </c>
      <c r="D65" t="s">
        <v>38</v>
      </c>
      <c r="E65" t="s">
        <v>82</v>
      </c>
      <c r="F65" t="s">
        <v>128</v>
      </c>
      <c r="G65" s="3">
        <v>1</v>
      </c>
      <c r="H65">
        <v>6000</v>
      </c>
      <c r="I65">
        <v>0.15</v>
      </c>
      <c r="J65">
        <v>4000</v>
      </c>
      <c r="K65">
        <v>6000</v>
      </c>
      <c r="L65">
        <v>900</v>
      </c>
      <c r="M65">
        <v>4000</v>
      </c>
      <c r="N65">
        <v>1100</v>
      </c>
      <c r="O65" s="4">
        <v>0.18333333333333332</v>
      </c>
      <c r="P65">
        <v>2025</v>
      </c>
      <c r="Q65" t="s">
        <v>57</v>
      </c>
    </row>
    <row r="66" spans="1:17">
      <c r="A66" t="s">
        <v>182</v>
      </c>
      <c r="B66" s="2">
        <v>45847</v>
      </c>
      <c r="C66" t="s">
        <v>183</v>
      </c>
      <c r="D66" t="s">
        <v>50</v>
      </c>
      <c r="E66" t="s">
        <v>45</v>
      </c>
      <c r="F66" t="s">
        <v>46</v>
      </c>
      <c r="G66" s="3">
        <v>6</v>
      </c>
      <c r="H66">
        <v>300</v>
      </c>
      <c r="I66">
        <v>0.1</v>
      </c>
      <c r="J66">
        <v>180</v>
      </c>
      <c r="K66">
        <v>1800</v>
      </c>
      <c r="L66">
        <v>180</v>
      </c>
      <c r="M66">
        <v>1080</v>
      </c>
      <c r="N66">
        <v>540</v>
      </c>
      <c r="O66" s="4">
        <v>0.3</v>
      </c>
      <c r="P66">
        <v>2025</v>
      </c>
      <c r="Q66" t="s">
        <v>68</v>
      </c>
    </row>
    <row r="67" spans="1:17">
      <c r="A67" t="s">
        <v>184</v>
      </c>
      <c r="B67" s="2">
        <v>45887</v>
      </c>
      <c r="C67" t="s">
        <v>153</v>
      </c>
      <c r="D67" t="s">
        <v>50</v>
      </c>
      <c r="E67" t="s">
        <v>39</v>
      </c>
      <c r="F67" t="s">
        <v>51</v>
      </c>
      <c r="G67" s="3">
        <v>6</v>
      </c>
      <c r="H67">
        <v>250</v>
      </c>
      <c r="I67">
        <v>0.15</v>
      </c>
      <c r="J67">
        <v>100</v>
      </c>
      <c r="K67">
        <v>1500</v>
      </c>
      <c r="L67">
        <v>225</v>
      </c>
      <c r="M67">
        <v>600</v>
      </c>
      <c r="N67">
        <v>675</v>
      </c>
      <c r="O67" s="4">
        <v>0.45</v>
      </c>
      <c r="P67">
        <v>2025</v>
      </c>
      <c r="Q67" t="s">
        <v>71</v>
      </c>
    </row>
    <row r="68" spans="1:17">
      <c r="A68" t="s">
        <v>185</v>
      </c>
      <c r="B68" s="2">
        <v>45829</v>
      </c>
      <c r="C68" t="s">
        <v>186</v>
      </c>
      <c r="D68" t="s">
        <v>44</v>
      </c>
      <c r="E68" t="s">
        <v>39</v>
      </c>
      <c r="F68" t="s">
        <v>51</v>
      </c>
      <c r="G68" s="3">
        <v>6</v>
      </c>
      <c r="H68">
        <v>250</v>
      </c>
      <c r="I68">
        <v>0.15</v>
      </c>
      <c r="J68">
        <v>100</v>
      </c>
      <c r="K68">
        <v>1500</v>
      </c>
      <c r="L68">
        <v>225</v>
      </c>
      <c r="M68">
        <v>600</v>
      </c>
      <c r="N68">
        <v>675</v>
      </c>
      <c r="O68" s="4">
        <v>0.45</v>
      </c>
      <c r="P68">
        <v>2025</v>
      </c>
      <c r="Q68" t="s">
        <v>52</v>
      </c>
    </row>
    <row r="69" spans="1:17">
      <c r="A69" t="s">
        <v>187</v>
      </c>
      <c r="B69" s="2">
        <v>45858</v>
      </c>
      <c r="C69" t="s">
        <v>141</v>
      </c>
      <c r="D69" t="s">
        <v>55</v>
      </c>
      <c r="E69" t="s">
        <v>59</v>
      </c>
      <c r="F69" t="s">
        <v>60</v>
      </c>
      <c r="G69" s="3">
        <v>3</v>
      </c>
      <c r="H69">
        <v>1500</v>
      </c>
      <c r="I69">
        <v>0.05</v>
      </c>
      <c r="J69">
        <v>900</v>
      </c>
      <c r="K69">
        <v>4500</v>
      </c>
      <c r="L69">
        <v>225</v>
      </c>
      <c r="M69">
        <v>2700</v>
      </c>
      <c r="N69">
        <v>1575</v>
      </c>
      <c r="O69" s="4">
        <v>0.35</v>
      </c>
      <c r="P69">
        <v>2025</v>
      </c>
      <c r="Q69" t="s">
        <v>68</v>
      </c>
    </row>
    <row r="70" spans="1:17">
      <c r="A70" t="s">
        <v>188</v>
      </c>
      <c r="B70" s="2">
        <v>45920</v>
      </c>
      <c r="C70" t="s">
        <v>189</v>
      </c>
      <c r="D70" t="s">
        <v>50</v>
      </c>
      <c r="E70" t="s">
        <v>82</v>
      </c>
      <c r="F70" t="s">
        <v>101</v>
      </c>
      <c r="G70" s="3">
        <v>6</v>
      </c>
      <c r="H70">
        <v>4000</v>
      </c>
      <c r="I70">
        <v>0.1</v>
      </c>
      <c r="J70">
        <v>2700</v>
      </c>
      <c r="K70">
        <v>24000</v>
      </c>
      <c r="L70">
        <v>2400</v>
      </c>
      <c r="M70">
        <v>16200</v>
      </c>
      <c r="N70">
        <v>5400</v>
      </c>
      <c r="O70" s="4">
        <v>0.22500000000000001</v>
      </c>
      <c r="P70">
        <v>2025</v>
      </c>
      <c r="Q70" t="s">
        <v>41</v>
      </c>
    </row>
    <row r="71" spans="1:17">
      <c r="A71" t="s">
        <v>190</v>
      </c>
      <c r="B71" s="2">
        <v>45829</v>
      </c>
      <c r="C71" t="s">
        <v>191</v>
      </c>
      <c r="D71" t="s">
        <v>38</v>
      </c>
      <c r="E71" t="s">
        <v>82</v>
      </c>
      <c r="F71" t="s">
        <v>83</v>
      </c>
      <c r="G71" s="3">
        <v>4</v>
      </c>
      <c r="H71">
        <v>3500</v>
      </c>
      <c r="I71">
        <v>0.05</v>
      </c>
      <c r="J71">
        <v>2200</v>
      </c>
      <c r="K71">
        <v>14000</v>
      </c>
      <c r="L71">
        <v>700</v>
      </c>
      <c r="M71">
        <v>8800</v>
      </c>
      <c r="N71">
        <v>4500</v>
      </c>
      <c r="O71" s="4">
        <v>0.32142857142857145</v>
      </c>
      <c r="P71">
        <v>2025</v>
      </c>
      <c r="Q71" t="s">
        <v>52</v>
      </c>
    </row>
    <row r="72" spans="1:17">
      <c r="A72" t="s">
        <v>192</v>
      </c>
      <c r="B72" s="2">
        <v>45943</v>
      </c>
      <c r="C72" t="s">
        <v>193</v>
      </c>
      <c r="D72" t="s">
        <v>50</v>
      </c>
      <c r="E72" t="s">
        <v>59</v>
      </c>
      <c r="F72" t="s">
        <v>60</v>
      </c>
      <c r="G72" s="3">
        <v>2</v>
      </c>
      <c r="H72">
        <v>1500</v>
      </c>
      <c r="I72">
        <v>0</v>
      </c>
      <c r="J72">
        <v>900</v>
      </c>
      <c r="K72">
        <v>3000</v>
      </c>
      <c r="L72">
        <v>0</v>
      </c>
      <c r="M72">
        <v>1800</v>
      </c>
      <c r="N72">
        <v>1200</v>
      </c>
      <c r="O72" s="4">
        <v>0.4</v>
      </c>
      <c r="P72">
        <v>2025</v>
      </c>
      <c r="Q72" t="s">
        <v>74</v>
      </c>
    </row>
    <row r="73" spans="1:17">
      <c r="A73" t="s">
        <v>194</v>
      </c>
      <c r="B73" s="2">
        <v>46011</v>
      </c>
      <c r="C73" t="s">
        <v>186</v>
      </c>
      <c r="D73" t="s">
        <v>50</v>
      </c>
      <c r="E73" t="s">
        <v>45</v>
      </c>
      <c r="F73" t="s">
        <v>46</v>
      </c>
      <c r="G73" s="3">
        <v>8</v>
      </c>
      <c r="H73">
        <v>300</v>
      </c>
      <c r="I73">
        <v>0.1</v>
      </c>
      <c r="J73">
        <v>180</v>
      </c>
      <c r="K73">
        <v>2400</v>
      </c>
      <c r="L73">
        <v>240</v>
      </c>
      <c r="M73">
        <v>1440</v>
      </c>
      <c r="N73">
        <v>720</v>
      </c>
      <c r="O73" s="4">
        <v>0.3</v>
      </c>
      <c r="P73">
        <v>2025</v>
      </c>
      <c r="Q73" t="s">
        <v>61</v>
      </c>
    </row>
    <row r="74" spans="1:17">
      <c r="A74" t="s">
        <v>195</v>
      </c>
      <c r="B74" s="2">
        <v>46167</v>
      </c>
      <c r="C74" t="s">
        <v>172</v>
      </c>
      <c r="D74" t="s">
        <v>55</v>
      </c>
      <c r="E74" t="s">
        <v>39</v>
      </c>
      <c r="F74" t="s">
        <v>64</v>
      </c>
      <c r="G74" s="3">
        <v>8</v>
      </c>
      <c r="H74">
        <v>2000</v>
      </c>
      <c r="I74">
        <v>0.05</v>
      </c>
      <c r="J74">
        <v>1200</v>
      </c>
      <c r="K74">
        <v>16000</v>
      </c>
      <c r="L74">
        <v>800</v>
      </c>
      <c r="M74">
        <v>9600</v>
      </c>
      <c r="N74">
        <v>5600</v>
      </c>
      <c r="O74" s="4">
        <v>0.35</v>
      </c>
      <c r="P74">
        <v>2026</v>
      </c>
      <c r="Q74" t="s">
        <v>145</v>
      </c>
    </row>
    <row r="75" spans="1:17">
      <c r="A75" t="s">
        <v>196</v>
      </c>
      <c r="B75" s="2">
        <v>46015</v>
      </c>
      <c r="C75" t="s">
        <v>165</v>
      </c>
      <c r="D75" t="s">
        <v>38</v>
      </c>
      <c r="E75" t="s">
        <v>82</v>
      </c>
      <c r="F75" t="s">
        <v>83</v>
      </c>
      <c r="G75" s="3">
        <v>2</v>
      </c>
      <c r="H75">
        <v>3500</v>
      </c>
      <c r="I75">
        <v>0.15</v>
      </c>
      <c r="J75">
        <v>2200</v>
      </c>
      <c r="K75">
        <v>7000</v>
      </c>
      <c r="L75">
        <v>1050</v>
      </c>
      <c r="M75">
        <v>4400</v>
      </c>
      <c r="N75">
        <v>1550</v>
      </c>
      <c r="O75" s="4">
        <v>0.22142857142857142</v>
      </c>
      <c r="P75">
        <v>2025</v>
      </c>
      <c r="Q75" t="s">
        <v>61</v>
      </c>
    </row>
    <row r="76" spans="1:17">
      <c r="A76" t="s">
        <v>197</v>
      </c>
      <c r="B76" s="2">
        <v>45839</v>
      </c>
      <c r="C76" t="s">
        <v>198</v>
      </c>
      <c r="D76" t="s">
        <v>55</v>
      </c>
      <c r="E76" t="s">
        <v>59</v>
      </c>
      <c r="F76" t="s">
        <v>158</v>
      </c>
      <c r="G76" s="3">
        <v>2</v>
      </c>
      <c r="H76">
        <v>500</v>
      </c>
      <c r="I76">
        <v>0.1</v>
      </c>
      <c r="J76">
        <v>250</v>
      </c>
      <c r="K76">
        <v>1000</v>
      </c>
      <c r="L76">
        <v>100</v>
      </c>
      <c r="M76">
        <v>500</v>
      </c>
      <c r="N76">
        <v>400</v>
      </c>
      <c r="O76" s="4">
        <v>0.4</v>
      </c>
      <c r="P76">
        <v>2025</v>
      </c>
      <c r="Q76" t="s">
        <v>68</v>
      </c>
    </row>
    <row r="77" spans="1:17">
      <c r="A77" t="s">
        <v>199</v>
      </c>
      <c r="B77" s="2">
        <v>45879</v>
      </c>
      <c r="C77" t="s">
        <v>76</v>
      </c>
      <c r="D77" t="s">
        <v>38</v>
      </c>
      <c r="E77" t="s">
        <v>59</v>
      </c>
      <c r="F77" t="s">
        <v>60</v>
      </c>
      <c r="G77" s="3">
        <v>8</v>
      </c>
      <c r="H77">
        <v>1500</v>
      </c>
      <c r="I77">
        <v>0.1</v>
      </c>
      <c r="J77">
        <v>900</v>
      </c>
      <c r="K77">
        <v>12000</v>
      </c>
      <c r="L77">
        <v>1200</v>
      </c>
      <c r="M77">
        <v>7200</v>
      </c>
      <c r="N77">
        <v>3600</v>
      </c>
      <c r="O77" s="4">
        <v>0.3</v>
      </c>
      <c r="P77">
        <v>2025</v>
      </c>
      <c r="Q77" t="s">
        <v>71</v>
      </c>
    </row>
    <row r="78" spans="1:17">
      <c r="A78" t="s">
        <v>200</v>
      </c>
      <c r="B78" s="2">
        <v>45664</v>
      </c>
      <c r="C78" t="s">
        <v>201</v>
      </c>
      <c r="D78" t="s">
        <v>55</v>
      </c>
      <c r="E78" t="s">
        <v>59</v>
      </c>
      <c r="F78" t="s">
        <v>158</v>
      </c>
      <c r="G78" s="3">
        <v>5</v>
      </c>
      <c r="H78">
        <v>500</v>
      </c>
      <c r="I78">
        <v>0</v>
      </c>
      <c r="J78">
        <v>250</v>
      </c>
      <c r="K78">
        <v>2500</v>
      </c>
      <c r="L78">
        <v>0</v>
      </c>
      <c r="M78">
        <v>1250</v>
      </c>
      <c r="N78">
        <v>1250</v>
      </c>
      <c r="O78" s="4">
        <v>0.5</v>
      </c>
      <c r="P78">
        <v>2025</v>
      </c>
      <c r="Q78" t="s">
        <v>47</v>
      </c>
    </row>
    <row r="79" spans="1:17">
      <c r="A79" t="s">
        <v>202</v>
      </c>
      <c r="B79" s="2">
        <v>45701</v>
      </c>
      <c r="C79" t="s">
        <v>203</v>
      </c>
      <c r="D79" t="s">
        <v>38</v>
      </c>
      <c r="E79" t="s">
        <v>59</v>
      </c>
      <c r="F79" t="s">
        <v>90</v>
      </c>
      <c r="G79" s="3">
        <v>7</v>
      </c>
      <c r="H79">
        <v>9000</v>
      </c>
      <c r="I79">
        <v>0.1</v>
      </c>
      <c r="J79">
        <v>6500</v>
      </c>
      <c r="K79">
        <v>63000</v>
      </c>
      <c r="L79">
        <v>6300</v>
      </c>
      <c r="M79">
        <v>45500</v>
      </c>
      <c r="N79">
        <v>11200</v>
      </c>
      <c r="O79" s="4">
        <v>0.17777777777777778</v>
      </c>
      <c r="P79">
        <v>2025</v>
      </c>
      <c r="Q79" t="s">
        <v>87</v>
      </c>
    </row>
    <row r="80" spans="1:17">
      <c r="A80" t="s">
        <v>204</v>
      </c>
      <c r="B80" s="2">
        <v>46042</v>
      </c>
      <c r="C80" t="s">
        <v>37</v>
      </c>
      <c r="D80" t="s">
        <v>50</v>
      </c>
      <c r="E80" t="s">
        <v>39</v>
      </c>
      <c r="F80" t="s">
        <v>56</v>
      </c>
      <c r="G80" s="3">
        <v>8</v>
      </c>
      <c r="H80">
        <v>800</v>
      </c>
      <c r="I80">
        <v>0.1</v>
      </c>
      <c r="J80">
        <v>450</v>
      </c>
      <c r="K80">
        <v>6400</v>
      </c>
      <c r="L80">
        <v>640</v>
      </c>
      <c r="M80">
        <v>3600</v>
      </c>
      <c r="N80">
        <v>2160</v>
      </c>
      <c r="O80" s="4">
        <v>0.33750000000000002</v>
      </c>
      <c r="P80">
        <v>2026</v>
      </c>
      <c r="Q80" t="s">
        <v>47</v>
      </c>
    </row>
    <row r="81" spans="1:17">
      <c r="A81" t="s">
        <v>205</v>
      </c>
      <c r="B81" s="2">
        <v>46188</v>
      </c>
      <c r="C81" t="s">
        <v>137</v>
      </c>
      <c r="D81" t="s">
        <v>50</v>
      </c>
      <c r="E81" t="s">
        <v>45</v>
      </c>
      <c r="F81" t="s">
        <v>168</v>
      </c>
      <c r="G81" s="3">
        <v>4</v>
      </c>
      <c r="H81">
        <v>100</v>
      </c>
      <c r="I81">
        <v>0.1</v>
      </c>
      <c r="J81">
        <v>40</v>
      </c>
      <c r="K81">
        <v>400</v>
      </c>
      <c r="L81">
        <v>40</v>
      </c>
      <c r="M81">
        <v>160</v>
      </c>
      <c r="N81">
        <v>200</v>
      </c>
      <c r="O81" s="4">
        <v>0.5</v>
      </c>
      <c r="P81">
        <v>2026</v>
      </c>
      <c r="Q81" t="s">
        <v>52</v>
      </c>
    </row>
    <row r="82" spans="1:17">
      <c r="A82" t="s">
        <v>206</v>
      </c>
      <c r="B82" s="2">
        <v>45876</v>
      </c>
      <c r="C82" t="s">
        <v>207</v>
      </c>
      <c r="D82" t="s">
        <v>50</v>
      </c>
      <c r="E82" t="s">
        <v>82</v>
      </c>
      <c r="F82" t="s">
        <v>83</v>
      </c>
      <c r="G82" s="3">
        <v>5</v>
      </c>
      <c r="H82">
        <v>3500</v>
      </c>
      <c r="I82">
        <v>0.15</v>
      </c>
      <c r="J82">
        <v>2200</v>
      </c>
      <c r="K82">
        <v>17500</v>
      </c>
      <c r="L82">
        <v>2625</v>
      </c>
      <c r="M82">
        <v>11000</v>
      </c>
      <c r="N82">
        <v>3875</v>
      </c>
      <c r="O82" s="4">
        <v>0.22142857142857142</v>
      </c>
      <c r="P82">
        <v>2025</v>
      </c>
      <c r="Q82" t="s">
        <v>71</v>
      </c>
    </row>
    <row r="83" spans="1:17">
      <c r="A83" t="s">
        <v>208</v>
      </c>
      <c r="B83" s="2">
        <v>46236</v>
      </c>
      <c r="C83" t="s">
        <v>139</v>
      </c>
      <c r="D83" t="s">
        <v>44</v>
      </c>
      <c r="E83" t="s">
        <v>45</v>
      </c>
      <c r="F83" t="s">
        <v>95</v>
      </c>
      <c r="G83" s="3">
        <v>8</v>
      </c>
      <c r="H83">
        <v>150</v>
      </c>
      <c r="I83">
        <v>0.1</v>
      </c>
      <c r="J83">
        <v>60</v>
      </c>
      <c r="K83">
        <v>1200</v>
      </c>
      <c r="L83">
        <v>120</v>
      </c>
      <c r="M83">
        <v>480</v>
      </c>
      <c r="N83">
        <v>600</v>
      </c>
      <c r="O83" s="4">
        <v>0.5</v>
      </c>
      <c r="P83">
        <v>2026</v>
      </c>
      <c r="Q83" t="s">
        <v>71</v>
      </c>
    </row>
    <row r="84" spans="1:17">
      <c r="A84" t="s">
        <v>209</v>
      </c>
      <c r="B84" s="2">
        <v>46178</v>
      </c>
      <c r="C84" t="s">
        <v>108</v>
      </c>
      <c r="D84" t="s">
        <v>38</v>
      </c>
      <c r="E84" t="s">
        <v>39</v>
      </c>
      <c r="F84" t="s">
        <v>64</v>
      </c>
      <c r="G84" s="3">
        <v>3</v>
      </c>
      <c r="H84">
        <v>2000</v>
      </c>
      <c r="I84">
        <v>0.1</v>
      </c>
      <c r="J84">
        <v>1200</v>
      </c>
      <c r="K84">
        <v>6000</v>
      </c>
      <c r="L84">
        <v>600</v>
      </c>
      <c r="M84">
        <v>3600</v>
      </c>
      <c r="N84">
        <v>1800</v>
      </c>
      <c r="O84" s="4">
        <v>0.3</v>
      </c>
      <c r="P84">
        <v>2026</v>
      </c>
      <c r="Q84" t="s">
        <v>52</v>
      </c>
    </row>
    <row r="85" spans="1:17">
      <c r="A85" t="s">
        <v>210</v>
      </c>
      <c r="B85" s="2">
        <v>45871</v>
      </c>
      <c r="C85" t="s">
        <v>211</v>
      </c>
      <c r="D85" t="s">
        <v>38</v>
      </c>
      <c r="E85" t="s">
        <v>45</v>
      </c>
      <c r="F85" t="s">
        <v>168</v>
      </c>
      <c r="G85" s="3">
        <v>5</v>
      </c>
      <c r="H85">
        <v>100</v>
      </c>
      <c r="I85">
        <v>0</v>
      </c>
      <c r="J85">
        <v>40</v>
      </c>
      <c r="K85">
        <v>500</v>
      </c>
      <c r="L85">
        <v>0</v>
      </c>
      <c r="M85">
        <v>200</v>
      </c>
      <c r="N85">
        <v>300</v>
      </c>
      <c r="O85" s="4">
        <v>0.6</v>
      </c>
      <c r="P85">
        <v>2025</v>
      </c>
      <c r="Q85" t="s">
        <v>71</v>
      </c>
    </row>
    <row r="86" spans="1:17">
      <c r="A86" t="s">
        <v>212</v>
      </c>
      <c r="B86" s="2">
        <v>46276</v>
      </c>
      <c r="C86" t="s">
        <v>213</v>
      </c>
      <c r="D86" t="s">
        <v>55</v>
      </c>
      <c r="E86" t="s">
        <v>59</v>
      </c>
      <c r="F86" t="s">
        <v>90</v>
      </c>
      <c r="G86" s="3">
        <v>1</v>
      </c>
      <c r="H86">
        <v>9000</v>
      </c>
      <c r="I86">
        <v>0.05</v>
      </c>
      <c r="J86">
        <v>6500</v>
      </c>
      <c r="K86">
        <v>9000</v>
      </c>
      <c r="L86">
        <v>450</v>
      </c>
      <c r="M86">
        <v>6500</v>
      </c>
      <c r="N86">
        <v>2050</v>
      </c>
      <c r="O86" s="4">
        <v>0.22777777777777777</v>
      </c>
      <c r="P86">
        <v>2026</v>
      </c>
      <c r="Q86" t="s">
        <v>41</v>
      </c>
    </row>
    <row r="87" spans="1:17">
      <c r="A87" t="s">
        <v>214</v>
      </c>
      <c r="B87" s="2">
        <v>45699</v>
      </c>
      <c r="C87" t="s">
        <v>49</v>
      </c>
      <c r="D87" t="s">
        <v>38</v>
      </c>
      <c r="E87" t="s">
        <v>45</v>
      </c>
      <c r="F87" t="s">
        <v>46</v>
      </c>
      <c r="G87" s="3">
        <v>3</v>
      </c>
      <c r="H87">
        <v>300</v>
      </c>
      <c r="I87">
        <v>0</v>
      </c>
      <c r="J87">
        <v>180</v>
      </c>
      <c r="K87">
        <v>900</v>
      </c>
      <c r="L87">
        <v>0</v>
      </c>
      <c r="M87">
        <v>540</v>
      </c>
      <c r="N87">
        <v>360</v>
      </c>
      <c r="O87" s="4">
        <v>0.4</v>
      </c>
      <c r="P87">
        <v>2025</v>
      </c>
      <c r="Q87" t="s">
        <v>87</v>
      </c>
    </row>
    <row r="88" spans="1:17">
      <c r="A88" t="s">
        <v>215</v>
      </c>
      <c r="B88" s="2">
        <v>45949</v>
      </c>
      <c r="C88" t="s">
        <v>216</v>
      </c>
      <c r="D88" t="s">
        <v>50</v>
      </c>
      <c r="E88" t="s">
        <v>45</v>
      </c>
      <c r="F88" t="s">
        <v>67</v>
      </c>
      <c r="G88" s="3">
        <v>1</v>
      </c>
      <c r="H88">
        <v>200</v>
      </c>
      <c r="I88">
        <v>0.15</v>
      </c>
      <c r="J88">
        <v>90</v>
      </c>
      <c r="K88">
        <v>200</v>
      </c>
      <c r="L88">
        <v>30</v>
      </c>
      <c r="M88">
        <v>90</v>
      </c>
      <c r="N88">
        <v>80</v>
      </c>
      <c r="O88" s="4">
        <v>0.4</v>
      </c>
      <c r="P88">
        <v>2025</v>
      </c>
      <c r="Q88" t="s">
        <v>74</v>
      </c>
    </row>
    <row r="89" spans="1:17">
      <c r="A89" t="s">
        <v>217</v>
      </c>
      <c r="B89" s="2">
        <v>45692</v>
      </c>
      <c r="C89" t="s">
        <v>92</v>
      </c>
      <c r="D89" t="s">
        <v>55</v>
      </c>
      <c r="E89" t="s">
        <v>45</v>
      </c>
      <c r="F89" t="s">
        <v>95</v>
      </c>
      <c r="G89" s="3">
        <v>4</v>
      </c>
      <c r="H89">
        <v>150</v>
      </c>
      <c r="I89">
        <v>0.15</v>
      </c>
      <c r="J89">
        <v>60</v>
      </c>
      <c r="K89">
        <v>600</v>
      </c>
      <c r="L89">
        <v>90</v>
      </c>
      <c r="M89">
        <v>240</v>
      </c>
      <c r="N89">
        <v>270</v>
      </c>
      <c r="O89" s="4">
        <v>0.45</v>
      </c>
      <c r="P89">
        <v>2025</v>
      </c>
      <c r="Q89" t="s">
        <v>87</v>
      </c>
    </row>
    <row r="90" spans="1:17">
      <c r="A90" t="s">
        <v>218</v>
      </c>
      <c r="B90" s="2">
        <v>46352</v>
      </c>
      <c r="C90" t="s">
        <v>155</v>
      </c>
      <c r="D90" t="s">
        <v>44</v>
      </c>
      <c r="E90" t="s">
        <v>59</v>
      </c>
      <c r="F90" t="s">
        <v>90</v>
      </c>
      <c r="G90" s="3">
        <v>4</v>
      </c>
      <c r="H90">
        <v>9000</v>
      </c>
      <c r="I90">
        <v>0.15</v>
      </c>
      <c r="J90">
        <v>6500</v>
      </c>
      <c r="K90">
        <v>36000</v>
      </c>
      <c r="L90">
        <v>5400</v>
      </c>
      <c r="M90">
        <v>26000</v>
      </c>
      <c r="N90">
        <v>4600</v>
      </c>
      <c r="O90" s="4">
        <v>0.12777777777777777</v>
      </c>
      <c r="P90">
        <v>2026</v>
      </c>
      <c r="Q90" t="s">
        <v>98</v>
      </c>
    </row>
    <row r="91" spans="1:17">
      <c r="A91" t="s">
        <v>219</v>
      </c>
      <c r="B91" s="2">
        <v>46133</v>
      </c>
      <c r="C91" t="s">
        <v>220</v>
      </c>
      <c r="D91" t="s">
        <v>55</v>
      </c>
      <c r="E91" t="s">
        <v>39</v>
      </c>
      <c r="F91" t="s">
        <v>56</v>
      </c>
      <c r="G91" s="3">
        <v>7</v>
      </c>
      <c r="H91">
        <v>800</v>
      </c>
      <c r="I91">
        <v>0.15</v>
      </c>
      <c r="J91">
        <v>450</v>
      </c>
      <c r="K91">
        <v>5600</v>
      </c>
      <c r="L91">
        <v>840</v>
      </c>
      <c r="M91">
        <v>3150</v>
      </c>
      <c r="N91">
        <v>1610</v>
      </c>
      <c r="O91" s="4">
        <v>0.28749999999999998</v>
      </c>
      <c r="P91">
        <v>2026</v>
      </c>
      <c r="Q91" t="s">
        <v>79</v>
      </c>
    </row>
    <row r="92" spans="1:17">
      <c r="A92" t="s">
        <v>221</v>
      </c>
      <c r="B92" s="2">
        <v>45774</v>
      </c>
      <c r="C92" t="s">
        <v>222</v>
      </c>
      <c r="D92" t="s">
        <v>44</v>
      </c>
      <c r="E92" t="s">
        <v>82</v>
      </c>
      <c r="F92" t="s">
        <v>101</v>
      </c>
      <c r="G92" s="3">
        <v>3</v>
      </c>
      <c r="H92">
        <v>4000</v>
      </c>
      <c r="I92">
        <v>0.1</v>
      </c>
      <c r="J92">
        <v>2700</v>
      </c>
      <c r="K92">
        <v>12000</v>
      </c>
      <c r="L92">
        <v>1200</v>
      </c>
      <c r="M92">
        <v>8100</v>
      </c>
      <c r="N92">
        <v>2700</v>
      </c>
      <c r="O92" s="4">
        <v>0.22500000000000001</v>
      </c>
      <c r="P92">
        <v>2025</v>
      </c>
      <c r="Q92" t="s">
        <v>79</v>
      </c>
    </row>
    <row r="93" spans="1:17">
      <c r="A93" t="s">
        <v>223</v>
      </c>
      <c r="B93" s="2">
        <v>45669</v>
      </c>
      <c r="C93" t="s">
        <v>198</v>
      </c>
      <c r="D93" t="s">
        <v>44</v>
      </c>
      <c r="E93" t="s">
        <v>45</v>
      </c>
      <c r="F93" t="s">
        <v>168</v>
      </c>
      <c r="G93" s="3">
        <v>7</v>
      </c>
      <c r="H93">
        <v>100</v>
      </c>
      <c r="I93">
        <v>0.1</v>
      </c>
      <c r="J93">
        <v>40</v>
      </c>
      <c r="K93">
        <v>700</v>
      </c>
      <c r="L93">
        <v>70</v>
      </c>
      <c r="M93">
        <v>280</v>
      </c>
      <c r="N93">
        <v>350</v>
      </c>
      <c r="O93" s="4">
        <v>0.5</v>
      </c>
      <c r="P93">
        <v>2025</v>
      </c>
      <c r="Q93" t="s">
        <v>47</v>
      </c>
    </row>
    <row r="94" spans="1:17">
      <c r="A94" t="s">
        <v>224</v>
      </c>
      <c r="B94" s="2">
        <v>45793</v>
      </c>
      <c r="C94" t="s">
        <v>225</v>
      </c>
      <c r="D94" t="s">
        <v>50</v>
      </c>
      <c r="E94" t="s">
        <v>59</v>
      </c>
      <c r="F94" t="s">
        <v>90</v>
      </c>
      <c r="G94" s="3">
        <v>4</v>
      </c>
      <c r="H94">
        <v>9000</v>
      </c>
      <c r="I94">
        <v>0.05</v>
      </c>
      <c r="J94">
        <v>6500</v>
      </c>
      <c r="K94">
        <v>36000</v>
      </c>
      <c r="L94">
        <v>1800</v>
      </c>
      <c r="M94">
        <v>26000</v>
      </c>
      <c r="N94">
        <v>8200</v>
      </c>
      <c r="O94" s="4">
        <v>0.22777777777777777</v>
      </c>
      <c r="P94">
        <v>2025</v>
      </c>
      <c r="Q94" t="s">
        <v>145</v>
      </c>
    </row>
    <row r="95" spans="1:17">
      <c r="A95" t="s">
        <v>226</v>
      </c>
      <c r="B95" s="2">
        <v>46167</v>
      </c>
      <c r="C95" t="s">
        <v>207</v>
      </c>
      <c r="D95" t="s">
        <v>44</v>
      </c>
      <c r="E95" t="s">
        <v>59</v>
      </c>
      <c r="F95" t="s">
        <v>77</v>
      </c>
      <c r="G95" s="3">
        <v>2</v>
      </c>
      <c r="H95">
        <v>1200</v>
      </c>
      <c r="I95">
        <v>0.05</v>
      </c>
      <c r="J95">
        <v>750</v>
      </c>
      <c r="K95">
        <v>2400</v>
      </c>
      <c r="L95">
        <v>120</v>
      </c>
      <c r="M95">
        <v>1500</v>
      </c>
      <c r="N95">
        <v>780</v>
      </c>
      <c r="O95" s="4">
        <v>0.32500000000000001</v>
      </c>
      <c r="P95">
        <v>2026</v>
      </c>
      <c r="Q95" t="s">
        <v>145</v>
      </c>
    </row>
    <row r="96" spans="1:17">
      <c r="A96" t="s">
        <v>227</v>
      </c>
      <c r="B96" s="2">
        <v>46140</v>
      </c>
      <c r="C96" t="s">
        <v>228</v>
      </c>
      <c r="D96" t="s">
        <v>55</v>
      </c>
      <c r="E96" t="s">
        <v>59</v>
      </c>
      <c r="F96" t="s">
        <v>90</v>
      </c>
      <c r="G96" s="3">
        <v>5</v>
      </c>
      <c r="H96">
        <v>9000</v>
      </c>
      <c r="I96">
        <v>0.05</v>
      </c>
      <c r="J96">
        <v>6500</v>
      </c>
      <c r="K96">
        <v>45000</v>
      </c>
      <c r="L96">
        <v>2250</v>
      </c>
      <c r="M96">
        <v>32500</v>
      </c>
      <c r="N96">
        <v>10250</v>
      </c>
      <c r="O96" s="4">
        <v>0.22777777777777777</v>
      </c>
      <c r="P96">
        <v>2026</v>
      </c>
      <c r="Q96" t="s">
        <v>79</v>
      </c>
    </row>
    <row r="97" spans="1:17">
      <c r="A97" t="s">
        <v>229</v>
      </c>
      <c r="B97" s="2">
        <v>45948</v>
      </c>
      <c r="C97" t="s">
        <v>230</v>
      </c>
      <c r="D97" t="s">
        <v>44</v>
      </c>
      <c r="E97" t="s">
        <v>45</v>
      </c>
      <c r="F97" t="s">
        <v>67</v>
      </c>
      <c r="G97" s="3">
        <v>5</v>
      </c>
      <c r="H97">
        <v>200</v>
      </c>
      <c r="I97">
        <v>0.05</v>
      </c>
      <c r="J97">
        <v>90</v>
      </c>
      <c r="K97">
        <v>1000</v>
      </c>
      <c r="L97">
        <v>50</v>
      </c>
      <c r="M97">
        <v>450</v>
      </c>
      <c r="N97">
        <v>500</v>
      </c>
      <c r="O97" s="4">
        <v>0.5</v>
      </c>
      <c r="P97">
        <v>2025</v>
      </c>
      <c r="Q97" t="s">
        <v>74</v>
      </c>
    </row>
    <row r="98" spans="1:17">
      <c r="A98" t="s">
        <v>231</v>
      </c>
      <c r="B98" s="2">
        <v>46038</v>
      </c>
      <c r="C98" t="s">
        <v>232</v>
      </c>
      <c r="D98" t="s">
        <v>50</v>
      </c>
      <c r="E98" t="s">
        <v>82</v>
      </c>
      <c r="F98" t="s">
        <v>83</v>
      </c>
      <c r="G98" s="3">
        <v>8</v>
      </c>
      <c r="H98">
        <v>3500</v>
      </c>
      <c r="I98">
        <v>0.1</v>
      </c>
      <c r="J98">
        <v>2200</v>
      </c>
      <c r="K98">
        <v>28000</v>
      </c>
      <c r="L98">
        <v>2800</v>
      </c>
      <c r="M98">
        <v>17600</v>
      </c>
      <c r="N98">
        <v>7600</v>
      </c>
      <c r="O98" s="4">
        <v>0.27142857142857141</v>
      </c>
      <c r="P98">
        <v>2026</v>
      </c>
      <c r="Q98" t="s">
        <v>47</v>
      </c>
    </row>
    <row r="99" spans="1:17">
      <c r="A99" t="s">
        <v>233</v>
      </c>
      <c r="B99" s="2">
        <v>45938</v>
      </c>
      <c r="C99" t="s">
        <v>170</v>
      </c>
      <c r="D99" t="s">
        <v>55</v>
      </c>
      <c r="E99" t="s">
        <v>59</v>
      </c>
      <c r="F99" t="s">
        <v>77</v>
      </c>
      <c r="G99" s="3">
        <v>6</v>
      </c>
      <c r="H99">
        <v>1200</v>
      </c>
      <c r="I99">
        <v>0</v>
      </c>
      <c r="J99">
        <v>750</v>
      </c>
      <c r="K99">
        <v>7200</v>
      </c>
      <c r="L99">
        <v>0</v>
      </c>
      <c r="M99">
        <v>4500</v>
      </c>
      <c r="N99">
        <v>2700</v>
      </c>
      <c r="O99" s="4">
        <v>0.375</v>
      </c>
      <c r="P99">
        <v>2025</v>
      </c>
      <c r="Q99" t="s">
        <v>74</v>
      </c>
    </row>
    <row r="100" spans="1:17">
      <c r="A100" t="s">
        <v>234</v>
      </c>
      <c r="B100" s="2">
        <v>45998</v>
      </c>
      <c r="C100" t="s">
        <v>70</v>
      </c>
      <c r="D100" t="s">
        <v>50</v>
      </c>
      <c r="E100" t="s">
        <v>82</v>
      </c>
      <c r="F100" t="s">
        <v>83</v>
      </c>
      <c r="G100" s="3">
        <v>7</v>
      </c>
      <c r="H100">
        <v>3500</v>
      </c>
      <c r="I100">
        <v>0.15</v>
      </c>
      <c r="J100">
        <v>2200</v>
      </c>
      <c r="K100">
        <v>24500</v>
      </c>
      <c r="L100">
        <v>3675</v>
      </c>
      <c r="M100">
        <v>15400</v>
      </c>
      <c r="N100">
        <v>5425</v>
      </c>
      <c r="O100" s="4">
        <v>0.22142857142857142</v>
      </c>
      <c r="P100">
        <v>2025</v>
      </c>
      <c r="Q100" t="s">
        <v>61</v>
      </c>
    </row>
    <row r="101" spans="1:17">
      <c r="A101" t="s">
        <v>235</v>
      </c>
      <c r="B101" s="2">
        <v>45788</v>
      </c>
      <c r="C101" t="s">
        <v>236</v>
      </c>
      <c r="D101" t="s">
        <v>44</v>
      </c>
      <c r="E101" t="s">
        <v>59</v>
      </c>
      <c r="F101" t="s">
        <v>158</v>
      </c>
      <c r="G101" s="3">
        <v>1</v>
      </c>
      <c r="H101">
        <v>500</v>
      </c>
      <c r="I101">
        <v>0.05</v>
      </c>
      <c r="J101">
        <v>250</v>
      </c>
      <c r="K101">
        <v>500</v>
      </c>
      <c r="L101">
        <v>25</v>
      </c>
      <c r="M101">
        <v>250</v>
      </c>
      <c r="N101">
        <v>225</v>
      </c>
      <c r="O101" s="4">
        <v>0.45</v>
      </c>
      <c r="P101">
        <v>2025</v>
      </c>
      <c r="Q101" t="s">
        <v>145</v>
      </c>
    </row>
    <row r="102" spans="1:17">
      <c r="A102" t="s">
        <v>237</v>
      </c>
      <c r="B102" s="2">
        <v>45799</v>
      </c>
      <c r="C102" t="s">
        <v>211</v>
      </c>
      <c r="D102" t="s">
        <v>38</v>
      </c>
      <c r="E102" t="s">
        <v>39</v>
      </c>
      <c r="F102" t="s">
        <v>51</v>
      </c>
      <c r="G102" s="3">
        <v>2</v>
      </c>
      <c r="H102">
        <v>250</v>
      </c>
      <c r="I102">
        <v>0</v>
      </c>
      <c r="J102">
        <v>100</v>
      </c>
      <c r="K102">
        <v>500</v>
      </c>
      <c r="L102">
        <v>0</v>
      </c>
      <c r="M102">
        <v>200</v>
      </c>
      <c r="N102">
        <v>300</v>
      </c>
      <c r="O102" s="4">
        <v>0.6</v>
      </c>
      <c r="P102">
        <v>2025</v>
      </c>
      <c r="Q102" t="s">
        <v>145</v>
      </c>
    </row>
    <row r="103" spans="1:17">
      <c r="A103" t="s">
        <v>238</v>
      </c>
      <c r="B103" s="2">
        <v>45716</v>
      </c>
      <c r="C103" t="s">
        <v>135</v>
      </c>
      <c r="D103" t="s">
        <v>38</v>
      </c>
      <c r="E103" t="s">
        <v>39</v>
      </c>
      <c r="F103" t="s">
        <v>40</v>
      </c>
      <c r="G103" s="3">
        <v>4</v>
      </c>
      <c r="H103">
        <v>700</v>
      </c>
      <c r="I103">
        <v>0.1</v>
      </c>
      <c r="J103">
        <v>400</v>
      </c>
      <c r="K103">
        <v>2800</v>
      </c>
      <c r="L103">
        <v>280</v>
      </c>
      <c r="M103">
        <v>1600</v>
      </c>
      <c r="N103">
        <v>920</v>
      </c>
      <c r="O103" s="4">
        <v>0.32857142857142857</v>
      </c>
      <c r="P103">
        <v>2025</v>
      </c>
      <c r="Q103" t="s">
        <v>87</v>
      </c>
    </row>
    <row r="104" spans="1:17">
      <c r="A104" t="s">
        <v>239</v>
      </c>
      <c r="B104" s="2">
        <v>46088</v>
      </c>
      <c r="C104" t="s">
        <v>157</v>
      </c>
      <c r="D104" t="s">
        <v>55</v>
      </c>
      <c r="E104" t="s">
        <v>82</v>
      </c>
      <c r="F104" t="s">
        <v>83</v>
      </c>
      <c r="G104" s="3">
        <v>3</v>
      </c>
      <c r="H104">
        <v>3500</v>
      </c>
      <c r="I104">
        <v>0.05</v>
      </c>
      <c r="J104">
        <v>2200</v>
      </c>
      <c r="K104">
        <v>10500</v>
      </c>
      <c r="L104">
        <v>525</v>
      </c>
      <c r="M104">
        <v>6600</v>
      </c>
      <c r="N104">
        <v>3375</v>
      </c>
      <c r="O104" s="4">
        <v>0.32142857142857145</v>
      </c>
      <c r="P104">
        <v>2026</v>
      </c>
      <c r="Q104" t="s">
        <v>57</v>
      </c>
    </row>
    <row r="105" spans="1:17">
      <c r="A105" t="s">
        <v>240</v>
      </c>
      <c r="B105" s="2">
        <v>46273</v>
      </c>
      <c r="C105" t="s">
        <v>115</v>
      </c>
      <c r="D105" t="s">
        <v>55</v>
      </c>
      <c r="E105" t="s">
        <v>39</v>
      </c>
      <c r="F105" t="s">
        <v>40</v>
      </c>
      <c r="G105" s="3">
        <v>6</v>
      </c>
      <c r="H105">
        <v>700</v>
      </c>
      <c r="I105">
        <v>0</v>
      </c>
      <c r="J105">
        <v>400</v>
      </c>
      <c r="K105">
        <v>4200</v>
      </c>
      <c r="L105">
        <v>0</v>
      </c>
      <c r="M105">
        <v>2400</v>
      </c>
      <c r="N105">
        <v>1800</v>
      </c>
      <c r="O105" s="4">
        <v>0.42857142857142855</v>
      </c>
      <c r="P105">
        <v>2026</v>
      </c>
      <c r="Q105" t="s">
        <v>41</v>
      </c>
    </row>
    <row r="106" spans="1:17">
      <c r="A106" t="s">
        <v>241</v>
      </c>
      <c r="B106" s="2">
        <v>45926</v>
      </c>
      <c r="C106" t="s">
        <v>242</v>
      </c>
      <c r="D106" t="s">
        <v>55</v>
      </c>
      <c r="E106" t="s">
        <v>59</v>
      </c>
      <c r="F106" t="s">
        <v>90</v>
      </c>
      <c r="G106" s="3">
        <v>1</v>
      </c>
      <c r="H106">
        <v>9000</v>
      </c>
      <c r="I106">
        <v>0.15</v>
      </c>
      <c r="J106">
        <v>6500</v>
      </c>
      <c r="K106">
        <v>9000</v>
      </c>
      <c r="L106">
        <v>1350</v>
      </c>
      <c r="M106">
        <v>6500</v>
      </c>
      <c r="N106">
        <v>1150</v>
      </c>
      <c r="O106" s="4">
        <v>0.12777777777777777</v>
      </c>
      <c r="P106">
        <v>2025</v>
      </c>
      <c r="Q106" t="s">
        <v>41</v>
      </c>
    </row>
    <row r="107" spans="1:17">
      <c r="A107" t="s">
        <v>243</v>
      </c>
      <c r="B107" s="2">
        <v>46247</v>
      </c>
      <c r="C107" t="s">
        <v>244</v>
      </c>
      <c r="D107" t="s">
        <v>50</v>
      </c>
      <c r="E107" t="s">
        <v>39</v>
      </c>
      <c r="F107" t="s">
        <v>51</v>
      </c>
      <c r="G107" s="3">
        <v>4</v>
      </c>
      <c r="H107">
        <v>250</v>
      </c>
      <c r="I107">
        <v>0.15</v>
      </c>
      <c r="J107">
        <v>100</v>
      </c>
      <c r="K107">
        <v>1000</v>
      </c>
      <c r="L107">
        <v>150</v>
      </c>
      <c r="M107">
        <v>400</v>
      </c>
      <c r="N107">
        <v>450</v>
      </c>
      <c r="O107" s="4">
        <v>0.45</v>
      </c>
      <c r="P107">
        <v>2026</v>
      </c>
      <c r="Q107" t="s">
        <v>71</v>
      </c>
    </row>
    <row r="108" spans="1:17">
      <c r="A108" t="s">
        <v>245</v>
      </c>
      <c r="B108" s="2">
        <v>46248</v>
      </c>
      <c r="C108" t="s">
        <v>225</v>
      </c>
      <c r="D108" t="s">
        <v>50</v>
      </c>
      <c r="E108" t="s">
        <v>39</v>
      </c>
      <c r="F108" t="s">
        <v>56</v>
      </c>
      <c r="G108" s="3">
        <v>3</v>
      </c>
      <c r="H108">
        <v>800</v>
      </c>
      <c r="I108">
        <v>0.15</v>
      </c>
      <c r="J108">
        <v>450</v>
      </c>
      <c r="K108">
        <v>2400</v>
      </c>
      <c r="L108">
        <v>360</v>
      </c>
      <c r="M108">
        <v>1350</v>
      </c>
      <c r="N108">
        <v>690</v>
      </c>
      <c r="O108" s="4">
        <v>0.28749999999999998</v>
      </c>
      <c r="P108">
        <v>2026</v>
      </c>
      <c r="Q108" t="s">
        <v>71</v>
      </c>
    </row>
    <row r="109" spans="1:17">
      <c r="A109" t="s">
        <v>246</v>
      </c>
      <c r="B109" s="2">
        <v>46371</v>
      </c>
      <c r="C109" t="s">
        <v>232</v>
      </c>
      <c r="D109" t="s">
        <v>44</v>
      </c>
      <c r="E109" t="s">
        <v>45</v>
      </c>
      <c r="F109" t="s">
        <v>95</v>
      </c>
      <c r="G109" s="3">
        <v>1</v>
      </c>
      <c r="H109">
        <v>150</v>
      </c>
      <c r="I109">
        <v>0.1</v>
      </c>
      <c r="J109">
        <v>60</v>
      </c>
      <c r="K109">
        <v>150</v>
      </c>
      <c r="L109">
        <v>15</v>
      </c>
      <c r="M109">
        <v>60</v>
      </c>
      <c r="N109">
        <v>75</v>
      </c>
      <c r="O109" s="4">
        <v>0.5</v>
      </c>
      <c r="P109">
        <v>2026</v>
      </c>
      <c r="Q109" t="s">
        <v>61</v>
      </c>
    </row>
    <row r="110" spans="1:17">
      <c r="A110" t="s">
        <v>247</v>
      </c>
      <c r="B110" s="2">
        <v>46174</v>
      </c>
      <c r="C110" t="s">
        <v>186</v>
      </c>
      <c r="D110" t="s">
        <v>50</v>
      </c>
      <c r="E110" t="s">
        <v>59</v>
      </c>
      <c r="F110" t="s">
        <v>90</v>
      </c>
      <c r="G110" s="3">
        <v>5</v>
      </c>
      <c r="H110">
        <v>9000</v>
      </c>
      <c r="I110">
        <v>0.15</v>
      </c>
      <c r="J110">
        <v>6500</v>
      </c>
      <c r="K110">
        <v>45000</v>
      </c>
      <c r="L110">
        <v>6750</v>
      </c>
      <c r="M110">
        <v>32500</v>
      </c>
      <c r="N110">
        <v>5750</v>
      </c>
      <c r="O110" s="4">
        <v>0.12777777777777777</v>
      </c>
      <c r="P110">
        <v>2026</v>
      </c>
      <c r="Q110" t="s">
        <v>52</v>
      </c>
    </row>
    <row r="111" spans="1:17">
      <c r="A111" t="s">
        <v>248</v>
      </c>
      <c r="B111" s="2">
        <v>45960</v>
      </c>
      <c r="C111" t="s">
        <v>108</v>
      </c>
      <c r="D111" t="s">
        <v>38</v>
      </c>
      <c r="E111" t="s">
        <v>45</v>
      </c>
      <c r="F111" t="s">
        <v>67</v>
      </c>
      <c r="G111" s="3">
        <v>5</v>
      </c>
      <c r="H111">
        <v>200</v>
      </c>
      <c r="I111">
        <v>0.15</v>
      </c>
      <c r="J111">
        <v>90</v>
      </c>
      <c r="K111">
        <v>1000</v>
      </c>
      <c r="L111">
        <v>150</v>
      </c>
      <c r="M111">
        <v>450</v>
      </c>
      <c r="N111">
        <v>400</v>
      </c>
      <c r="O111" s="4">
        <v>0.4</v>
      </c>
      <c r="P111">
        <v>2025</v>
      </c>
      <c r="Q111" t="s">
        <v>74</v>
      </c>
    </row>
    <row r="112" spans="1:17">
      <c r="A112" t="s">
        <v>249</v>
      </c>
      <c r="B112" s="2">
        <v>46047</v>
      </c>
      <c r="C112" t="s">
        <v>137</v>
      </c>
      <c r="D112" t="s">
        <v>44</v>
      </c>
      <c r="E112" t="s">
        <v>39</v>
      </c>
      <c r="F112" t="s">
        <v>40</v>
      </c>
      <c r="G112" s="3">
        <v>4</v>
      </c>
      <c r="H112">
        <v>700</v>
      </c>
      <c r="I112">
        <v>0.05</v>
      </c>
      <c r="J112">
        <v>400</v>
      </c>
      <c r="K112">
        <v>2800</v>
      </c>
      <c r="L112">
        <v>140</v>
      </c>
      <c r="M112">
        <v>1600</v>
      </c>
      <c r="N112">
        <v>1060</v>
      </c>
      <c r="O112" s="4">
        <v>0.37857142857142856</v>
      </c>
      <c r="P112">
        <v>2026</v>
      </c>
      <c r="Q112" t="s">
        <v>47</v>
      </c>
    </row>
    <row r="113" spans="1:17">
      <c r="A113" t="s">
        <v>250</v>
      </c>
      <c r="B113" s="2">
        <v>46250</v>
      </c>
      <c r="C113" t="s">
        <v>251</v>
      </c>
      <c r="D113" t="s">
        <v>55</v>
      </c>
      <c r="E113" t="s">
        <v>39</v>
      </c>
      <c r="F113" t="s">
        <v>51</v>
      </c>
      <c r="G113" s="3">
        <v>5</v>
      </c>
      <c r="H113">
        <v>250</v>
      </c>
      <c r="I113">
        <v>0.05</v>
      </c>
      <c r="J113">
        <v>100</v>
      </c>
      <c r="K113">
        <v>1250</v>
      </c>
      <c r="L113">
        <v>62.5</v>
      </c>
      <c r="M113">
        <v>500</v>
      </c>
      <c r="N113">
        <v>687.5</v>
      </c>
      <c r="O113" s="4">
        <v>0.55000000000000004</v>
      </c>
      <c r="P113">
        <v>2026</v>
      </c>
      <c r="Q113" t="s">
        <v>71</v>
      </c>
    </row>
    <row r="114" spans="1:17">
      <c r="A114" t="s">
        <v>252</v>
      </c>
      <c r="B114" s="2">
        <v>45895</v>
      </c>
      <c r="C114" t="s">
        <v>232</v>
      </c>
      <c r="D114" t="s">
        <v>38</v>
      </c>
      <c r="E114" t="s">
        <v>45</v>
      </c>
      <c r="F114" t="s">
        <v>95</v>
      </c>
      <c r="G114" s="3">
        <v>1</v>
      </c>
      <c r="H114">
        <v>150</v>
      </c>
      <c r="I114">
        <v>0</v>
      </c>
      <c r="J114">
        <v>60</v>
      </c>
      <c r="K114">
        <v>150</v>
      </c>
      <c r="L114">
        <v>0</v>
      </c>
      <c r="M114">
        <v>60</v>
      </c>
      <c r="N114">
        <v>90</v>
      </c>
      <c r="O114" s="4">
        <v>0.6</v>
      </c>
      <c r="P114">
        <v>2025</v>
      </c>
      <c r="Q114" t="s">
        <v>71</v>
      </c>
    </row>
    <row r="115" spans="1:17">
      <c r="A115" t="s">
        <v>253</v>
      </c>
      <c r="B115" s="2">
        <v>45690</v>
      </c>
      <c r="C115" t="s">
        <v>85</v>
      </c>
      <c r="D115" t="s">
        <v>38</v>
      </c>
      <c r="E115" t="s">
        <v>39</v>
      </c>
      <c r="F115" t="s">
        <v>51</v>
      </c>
      <c r="G115" s="3">
        <v>2</v>
      </c>
      <c r="H115">
        <v>250</v>
      </c>
      <c r="I115">
        <v>0.05</v>
      </c>
      <c r="J115">
        <v>100</v>
      </c>
      <c r="K115">
        <v>500</v>
      </c>
      <c r="L115">
        <v>25</v>
      </c>
      <c r="M115">
        <v>200</v>
      </c>
      <c r="N115">
        <v>275</v>
      </c>
      <c r="O115" s="4">
        <v>0.55000000000000004</v>
      </c>
      <c r="P115">
        <v>2025</v>
      </c>
      <c r="Q115" t="s">
        <v>87</v>
      </c>
    </row>
    <row r="116" spans="1:17">
      <c r="A116" t="s">
        <v>254</v>
      </c>
      <c r="B116" s="2">
        <v>46101</v>
      </c>
      <c r="C116" t="s">
        <v>126</v>
      </c>
      <c r="D116" t="s">
        <v>55</v>
      </c>
      <c r="E116" t="s">
        <v>45</v>
      </c>
      <c r="F116" t="s">
        <v>95</v>
      </c>
      <c r="G116" s="3">
        <v>2</v>
      </c>
      <c r="H116">
        <v>150</v>
      </c>
      <c r="I116">
        <v>0.15</v>
      </c>
      <c r="J116">
        <v>60</v>
      </c>
      <c r="K116">
        <v>300</v>
      </c>
      <c r="L116">
        <v>45</v>
      </c>
      <c r="M116">
        <v>120</v>
      </c>
      <c r="N116">
        <v>135</v>
      </c>
      <c r="O116" s="4">
        <v>0.45</v>
      </c>
      <c r="P116">
        <v>2026</v>
      </c>
      <c r="Q116" t="s">
        <v>57</v>
      </c>
    </row>
    <row r="117" spans="1:17">
      <c r="A117" t="s">
        <v>255</v>
      </c>
      <c r="B117" s="2">
        <v>46152</v>
      </c>
      <c r="C117" t="s">
        <v>143</v>
      </c>
      <c r="D117" t="s">
        <v>38</v>
      </c>
      <c r="E117" t="s">
        <v>39</v>
      </c>
      <c r="F117" t="s">
        <v>51</v>
      </c>
      <c r="G117" s="3">
        <v>7</v>
      </c>
      <c r="H117">
        <v>250</v>
      </c>
      <c r="I117">
        <v>0.05</v>
      </c>
      <c r="J117">
        <v>100</v>
      </c>
      <c r="K117">
        <v>1750</v>
      </c>
      <c r="L117">
        <v>87.5</v>
      </c>
      <c r="M117">
        <v>700</v>
      </c>
      <c r="N117">
        <v>962.5</v>
      </c>
      <c r="O117" s="4">
        <v>0.55000000000000004</v>
      </c>
      <c r="P117">
        <v>2026</v>
      </c>
      <c r="Q117" t="s">
        <v>145</v>
      </c>
    </row>
    <row r="118" spans="1:17">
      <c r="A118" t="s">
        <v>256</v>
      </c>
      <c r="B118" s="2">
        <v>46178</v>
      </c>
      <c r="C118" t="s">
        <v>257</v>
      </c>
      <c r="D118" t="s">
        <v>44</v>
      </c>
      <c r="E118" t="s">
        <v>59</v>
      </c>
      <c r="F118" t="s">
        <v>90</v>
      </c>
      <c r="G118" s="3">
        <v>1</v>
      </c>
      <c r="H118">
        <v>9000</v>
      </c>
      <c r="I118">
        <v>0</v>
      </c>
      <c r="J118">
        <v>6500</v>
      </c>
      <c r="K118">
        <v>9000</v>
      </c>
      <c r="L118">
        <v>0</v>
      </c>
      <c r="M118">
        <v>6500</v>
      </c>
      <c r="N118">
        <v>2500</v>
      </c>
      <c r="O118" s="4">
        <v>0.27777777777777779</v>
      </c>
      <c r="P118">
        <v>2026</v>
      </c>
      <c r="Q118" t="s">
        <v>52</v>
      </c>
    </row>
    <row r="119" spans="1:17">
      <c r="A119" t="s">
        <v>258</v>
      </c>
      <c r="B119" s="2">
        <v>46168</v>
      </c>
      <c r="C119" t="s">
        <v>155</v>
      </c>
      <c r="D119" t="s">
        <v>38</v>
      </c>
      <c r="E119" t="s">
        <v>45</v>
      </c>
      <c r="F119" t="s">
        <v>67</v>
      </c>
      <c r="G119" s="3">
        <v>3</v>
      </c>
      <c r="H119">
        <v>200</v>
      </c>
      <c r="I119">
        <v>0.15</v>
      </c>
      <c r="J119">
        <v>90</v>
      </c>
      <c r="K119">
        <v>600</v>
      </c>
      <c r="L119">
        <v>90</v>
      </c>
      <c r="M119">
        <v>270</v>
      </c>
      <c r="N119">
        <v>240</v>
      </c>
      <c r="O119" s="4">
        <v>0.4</v>
      </c>
      <c r="P119">
        <v>2026</v>
      </c>
      <c r="Q119" t="s">
        <v>145</v>
      </c>
    </row>
    <row r="120" spans="1:17">
      <c r="A120" t="s">
        <v>259</v>
      </c>
      <c r="B120" s="2">
        <v>46209</v>
      </c>
      <c r="C120" t="s">
        <v>260</v>
      </c>
      <c r="D120" t="s">
        <v>50</v>
      </c>
      <c r="E120" t="s">
        <v>39</v>
      </c>
      <c r="F120" t="s">
        <v>40</v>
      </c>
      <c r="G120" s="3">
        <v>7</v>
      </c>
      <c r="H120">
        <v>700</v>
      </c>
      <c r="I120">
        <v>0</v>
      </c>
      <c r="J120">
        <v>400</v>
      </c>
      <c r="K120">
        <v>4900</v>
      </c>
      <c r="L120">
        <v>0</v>
      </c>
      <c r="M120">
        <v>2800</v>
      </c>
      <c r="N120">
        <v>2100</v>
      </c>
      <c r="O120" s="4">
        <v>0.42857142857142855</v>
      </c>
      <c r="P120">
        <v>2026</v>
      </c>
      <c r="Q120" t="s">
        <v>68</v>
      </c>
    </row>
    <row r="121" spans="1:17">
      <c r="A121" t="s">
        <v>261</v>
      </c>
      <c r="B121" s="2">
        <v>45951</v>
      </c>
      <c r="C121" t="s">
        <v>230</v>
      </c>
      <c r="D121" t="s">
        <v>55</v>
      </c>
      <c r="E121" t="s">
        <v>45</v>
      </c>
      <c r="F121" t="s">
        <v>67</v>
      </c>
      <c r="G121" s="3">
        <v>3</v>
      </c>
      <c r="H121">
        <v>200</v>
      </c>
      <c r="I121">
        <v>0.15</v>
      </c>
      <c r="J121">
        <v>90</v>
      </c>
      <c r="K121">
        <v>600</v>
      </c>
      <c r="L121">
        <v>90</v>
      </c>
      <c r="M121">
        <v>270</v>
      </c>
      <c r="N121">
        <v>240</v>
      </c>
      <c r="O121" s="4">
        <v>0.4</v>
      </c>
      <c r="P121">
        <v>2025</v>
      </c>
      <c r="Q121" t="s">
        <v>74</v>
      </c>
    </row>
    <row r="122" spans="1:17">
      <c r="A122" t="s">
        <v>262</v>
      </c>
      <c r="B122" s="2">
        <v>45739</v>
      </c>
      <c r="C122" t="s">
        <v>263</v>
      </c>
      <c r="D122" t="s">
        <v>38</v>
      </c>
      <c r="E122" t="s">
        <v>82</v>
      </c>
      <c r="F122" t="s">
        <v>128</v>
      </c>
      <c r="G122" s="3">
        <v>8</v>
      </c>
      <c r="H122">
        <v>6000</v>
      </c>
      <c r="I122">
        <v>0</v>
      </c>
      <c r="J122">
        <v>4000</v>
      </c>
      <c r="K122">
        <v>48000</v>
      </c>
      <c r="L122">
        <v>0</v>
      </c>
      <c r="M122">
        <v>32000</v>
      </c>
      <c r="N122">
        <v>16000</v>
      </c>
      <c r="O122" s="4">
        <v>0.33333333333333331</v>
      </c>
      <c r="P122">
        <v>2025</v>
      </c>
      <c r="Q122" t="s">
        <v>57</v>
      </c>
    </row>
    <row r="123" spans="1:17">
      <c r="A123" t="s">
        <v>264</v>
      </c>
      <c r="B123" s="2">
        <v>46021</v>
      </c>
      <c r="C123" t="s">
        <v>110</v>
      </c>
      <c r="D123" t="s">
        <v>38</v>
      </c>
      <c r="E123" t="s">
        <v>82</v>
      </c>
      <c r="F123" t="s">
        <v>101</v>
      </c>
      <c r="G123" s="3">
        <v>3</v>
      </c>
      <c r="H123">
        <v>4000</v>
      </c>
      <c r="I123">
        <v>0.1</v>
      </c>
      <c r="J123">
        <v>2700</v>
      </c>
      <c r="K123">
        <v>12000</v>
      </c>
      <c r="L123">
        <v>1200</v>
      </c>
      <c r="M123">
        <v>8100</v>
      </c>
      <c r="N123">
        <v>2700</v>
      </c>
      <c r="O123" s="4">
        <v>0.22500000000000001</v>
      </c>
      <c r="P123">
        <v>2025</v>
      </c>
      <c r="Q123" t="s">
        <v>61</v>
      </c>
    </row>
    <row r="124" spans="1:17">
      <c r="A124" t="s">
        <v>265</v>
      </c>
      <c r="B124" s="2">
        <v>46245</v>
      </c>
      <c r="C124" t="s">
        <v>266</v>
      </c>
      <c r="D124" t="s">
        <v>55</v>
      </c>
      <c r="E124" t="s">
        <v>39</v>
      </c>
      <c r="F124" t="s">
        <v>64</v>
      </c>
      <c r="G124" s="3">
        <v>8</v>
      </c>
      <c r="H124">
        <v>2000</v>
      </c>
      <c r="I124">
        <v>0.15</v>
      </c>
      <c r="J124">
        <v>1200</v>
      </c>
      <c r="K124">
        <v>16000</v>
      </c>
      <c r="L124">
        <v>2400</v>
      </c>
      <c r="M124">
        <v>9600</v>
      </c>
      <c r="N124">
        <v>4000</v>
      </c>
      <c r="O124" s="4">
        <v>0.25</v>
      </c>
      <c r="P124">
        <v>2026</v>
      </c>
      <c r="Q124" t="s">
        <v>71</v>
      </c>
    </row>
    <row r="125" spans="1:17">
      <c r="A125" t="s">
        <v>267</v>
      </c>
      <c r="B125" s="2">
        <v>45748</v>
      </c>
      <c r="C125" t="s">
        <v>268</v>
      </c>
      <c r="D125" t="s">
        <v>38</v>
      </c>
      <c r="E125" t="s">
        <v>39</v>
      </c>
      <c r="F125" t="s">
        <v>40</v>
      </c>
      <c r="G125" s="3">
        <v>6</v>
      </c>
      <c r="H125">
        <v>700</v>
      </c>
      <c r="I125">
        <v>0.15</v>
      </c>
      <c r="J125">
        <v>400</v>
      </c>
      <c r="K125">
        <v>4200</v>
      </c>
      <c r="L125">
        <v>630</v>
      </c>
      <c r="M125">
        <v>2400</v>
      </c>
      <c r="N125">
        <v>1170</v>
      </c>
      <c r="O125" s="4">
        <v>0.27857142857142858</v>
      </c>
      <c r="P125">
        <v>2025</v>
      </c>
      <c r="Q125" t="s">
        <v>79</v>
      </c>
    </row>
    <row r="126" spans="1:17">
      <c r="A126" t="s">
        <v>269</v>
      </c>
      <c r="B126" s="2">
        <v>45915</v>
      </c>
      <c r="C126" t="s">
        <v>270</v>
      </c>
      <c r="D126" t="s">
        <v>50</v>
      </c>
      <c r="E126" t="s">
        <v>45</v>
      </c>
      <c r="F126" t="s">
        <v>95</v>
      </c>
      <c r="G126" s="3">
        <v>2</v>
      </c>
      <c r="H126">
        <v>150</v>
      </c>
      <c r="I126">
        <v>0.1</v>
      </c>
      <c r="J126">
        <v>60</v>
      </c>
      <c r="K126">
        <v>300</v>
      </c>
      <c r="L126">
        <v>30</v>
      </c>
      <c r="M126">
        <v>120</v>
      </c>
      <c r="N126">
        <v>150</v>
      </c>
      <c r="O126" s="4">
        <v>0.5</v>
      </c>
      <c r="P126">
        <v>2025</v>
      </c>
      <c r="Q126" t="s">
        <v>41</v>
      </c>
    </row>
    <row r="127" spans="1:17">
      <c r="A127" t="s">
        <v>271</v>
      </c>
      <c r="B127" s="2">
        <v>45770</v>
      </c>
      <c r="C127" t="s">
        <v>108</v>
      </c>
      <c r="D127" t="s">
        <v>44</v>
      </c>
      <c r="E127" t="s">
        <v>45</v>
      </c>
      <c r="F127" t="s">
        <v>67</v>
      </c>
      <c r="G127" s="3">
        <v>1</v>
      </c>
      <c r="H127">
        <v>200</v>
      </c>
      <c r="I127">
        <v>0.15</v>
      </c>
      <c r="J127">
        <v>90</v>
      </c>
      <c r="K127">
        <v>200</v>
      </c>
      <c r="L127">
        <v>30</v>
      </c>
      <c r="M127">
        <v>90</v>
      </c>
      <c r="N127">
        <v>80</v>
      </c>
      <c r="O127" s="4">
        <v>0.4</v>
      </c>
      <c r="P127">
        <v>2025</v>
      </c>
      <c r="Q127" t="s">
        <v>79</v>
      </c>
    </row>
    <row r="128" spans="1:17">
      <c r="A128" t="s">
        <v>272</v>
      </c>
      <c r="B128" s="2">
        <v>46174</v>
      </c>
      <c r="C128" t="s">
        <v>141</v>
      </c>
      <c r="D128" t="s">
        <v>44</v>
      </c>
      <c r="E128" t="s">
        <v>59</v>
      </c>
      <c r="F128" t="s">
        <v>77</v>
      </c>
      <c r="G128" s="3">
        <v>4</v>
      </c>
      <c r="H128">
        <v>1200</v>
      </c>
      <c r="I128">
        <v>0.1</v>
      </c>
      <c r="J128">
        <v>750</v>
      </c>
      <c r="K128">
        <v>4800</v>
      </c>
      <c r="L128">
        <v>480</v>
      </c>
      <c r="M128">
        <v>3000</v>
      </c>
      <c r="N128">
        <v>1320</v>
      </c>
      <c r="O128" s="4">
        <v>0.27500000000000002</v>
      </c>
      <c r="P128">
        <v>2026</v>
      </c>
      <c r="Q128" t="s">
        <v>52</v>
      </c>
    </row>
    <row r="129" spans="1:17">
      <c r="A129" t="s">
        <v>273</v>
      </c>
      <c r="B129" s="2">
        <v>45846</v>
      </c>
      <c r="C129" t="s">
        <v>63</v>
      </c>
      <c r="D129" t="s">
        <v>50</v>
      </c>
      <c r="E129" t="s">
        <v>39</v>
      </c>
      <c r="F129" t="s">
        <v>51</v>
      </c>
      <c r="G129" s="3">
        <v>5</v>
      </c>
      <c r="H129">
        <v>250</v>
      </c>
      <c r="I129">
        <v>0.15</v>
      </c>
      <c r="J129">
        <v>100</v>
      </c>
      <c r="K129">
        <v>1250</v>
      </c>
      <c r="L129">
        <v>187.5</v>
      </c>
      <c r="M129">
        <v>500</v>
      </c>
      <c r="N129">
        <v>562.5</v>
      </c>
      <c r="O129" s="4">
        <v>0.45</v>
      </c>
      <c r="P129">
        <v>2025</v>
      </c>
      <c r="Q129" t="s">
        <v>68</v>
      </c>
    </row>
    <row r="130" spans="1:17">
      <c r="A130" t="s">
        <v>274</v>
      </c>
      <c r="B130" s="2">
        <v>45788</v>
      </c>
      <c r="C130" t="s">
        <v>189</v>
      </c>
      <c r="D130" t="s">
        <v>44</v>
      </c>
      <c r="E130" t="s">
        <v>82</v>
      </c>
      <c r="F130" t="s">
        <v>128</v>
      </c>
      <c r="G130" s="3">
        <v>1</v>
      </c>
      <c r="H130">
        <v>6000</v>
      </c>
      <c r="I130">
        <v>0.15</v>
      </c>
      <c r="J130">
        <v>4000</v>
      </c>
      <c r="K130">
        <v>6000</v>
      </c>
      <c r="L130">
        <v>900</v>
      </c>
      <c r="M130">
        <v>4000</v>
      </c>
      <c r="N130">
        <v>1100</v>
      </c>
      <c r="O130" s="4">
        <v>0.18333333333333332</v>
      </c>
      <c r="P130">
        <v>2025</v>
      </c>
      <c r="Q130" t="s">
        <v>145</v>
      </c>
    </row>
    <row r="131" spans="1:17">
      <c r="A131" t="s">
        <v>275</v>
      </c>
      <c r="B131" s="2">
        <v>46006</v>
      </c>
      <c r="C131" t="s">
        <v>157</v>
      </c>
      <c r="D131" t="s">
        <v>38</v>
      </c>
      <c r="E131" t="s">
        <v>45</v>
      </c>
      <c r="F131" t="s">
        <v>67</v>
      </c>
      <c r="G131" s="3">
        <v>7</v>
      </c>
      <c r="H131">
        <v>200</v>
      </c>
      <c r="I131">
        <v>0</v>
      </c>
      <c r="J131">
        <v>90</v>
      </c>
      <c r="K131">
        <v>1400</v>
      </c>
      <c r="L131">
        <v>0</v>
      </c>
      <c r="M131">
        <v>630</v>
      </c>
      <c r="N131">
        <v>770</v>
      </c>
      <c r="O131" s="4">
        <v>0.55000000000000004</v>
      </c>
      <c r="P131">
        <v>2025</v>
      </c>
      <c r="Q131" t="s">
        <v>61</v>
      </c>
    </row>
    <row r="132" spans="1:17">
      <c r="A132" t="s">
        <v>276</v>
      </c>
      <c r="B132" s="2">
        <v>46147</v>
      </c>
      <c r="C132" t="s">
        <v>277</v>
      </c>
      <c r="D132" t="s">
        <v>55</v>
      </c>
      <c r="E132" t="s">
        <v>82</v>
      </c>
      <c r="F132" t="s">
        <v>83</v>
      </c>
      <c r="G132" s="3">
        <v>7</v>
      </c>
      <c r="H132">
        <v>3500</v>
      </c>
      <c r="I132">
        <v>0</v>
      </c>
      <c r="J132">
        <v>2200</v>
      </c>
      <c r="K132">
        <v>24500</v>
      </c>
      <c r="L132">
        <v>0</v>
      </c>
      <c r="M132">
        <v>15400</v>
      </c>
      <c r="N132">
        <v>9100</v>
      </c>
      <c r="O132" s="4">
        <v>0.37142857142857144</v>
      </c>
      <c r="P132">
        <v>2026</v>
      </c>
      <c r="Q132" t="s">
        <v>145</v>
      </c>
    </row>
    <row r="133" spans="1:17">
      <c r="A133" t="s">
        <v>278</v>
      </c>
      <c r="B133" s="2">
        <v>45766</v>
      </c>
      <c r="C133" t="s">
        <v>251</v>
      </c>
      <c r="D133" t="s">
        <v>38</v>
      </c>
      <c r="E133" t="s">
        <v>59</v>
      </c>
      <c r="F133" t="s">
        <v>158</v>
      </c>
      <c r="G133" s="3">
        <v>8</v>
      </c>
      <c r="H133">
        <v>500</v>
      </c>
      <c r="I133">
        <v>0.05</v>
      </c>
      <c r="J133">
        <v>250</v>
      </c>
      <c r="K133">
        <v>4000</v>
      </c>
      <c r="L133">
        <v>200</v>
      </c>
      <c r="M133">
        <v>2000</v>
      </c>
      <c r="N133">
        <v>1800</v>
      </c>
      <c r="O133" s="4">
        <v>0.45</v>
      </c>
      <c r="P133">
        <v>2025</v>
      </c>
      <c r="Q133" t="s">
        <v>79</v>
      </c>
    </row>
    <row r="134" spans="1:17">
      <c r="A134" t="s">
        <v>279</v>
      </c>
      <c r="B134" s="2">
        <v>46002</v>
      </c>
      <c r="C134" t="s">
        <v>135</v>
      </c>
      <c r="D134" t="s">
        <v>50</v>
      </c>
      <c r="E134" t="s">
        <v>82</v>
      </c>
      <c r="F134" t="s">
        <v>86</v>
      </c>
      <c r="G134" s="3">
        <v>4</v>
      </c>
      <c r="H134">
        <v>4500</v>
      </c>
      <c r="I134">
        <v>0.05</v>
      </c>
      <c r="J134">
        <v>3000</v>
      </c>
      <c r="K134">
        <v>18000</v>
      </c>
      <c r="L134">
        <v>900</v>
      </c>
      <c r="M134">
        <v>12000</v>
      </c>
      <c r="N134">
        <v>5100</v>
      </c>
      <c r="O134" s="4">
        <v>0.28333333333333333</v>
      </c>
      <c r="P134">
        <v>2025</v>
      </c>
      <c r="Q134" t="s">
        <v>61</v>
      </c>
    </row>
    <row r="135" spans="1:17">
      <c r="A135" t="s">
        <v>280</v>
      </c>
      <c r="B135" s="2">
        <v>46013</v>
      </c>
      <c r="C135" t="s">
        <v>172</v>
      </c>
      <c r="D135" t="s">
        <v>38</v>
      </c>
      <c r="E135" t="s">
        <v>82</v>
      </c>
      <c r="F135" t="s">
        <v>128</v>
      </c>
      <c r="G135" s="3">
        <v>5</v>
      </c>
      <c r="H135">
        <v>6000</v>
      </c>
      <c r="I135">
        <v>0</v>
      </c>
      <c r="J135">
        <v>4000</v>
      </c>
      <c r="K135">
        <v>30000</v>
      </c>
      <c r="L135">
        <v>0</v>
      </c>
      <c r="M135">
        <v>20000</v>
      </c>
      <c r="N135">
        <v>10000</v>
      </c>
      <c r="O135" s="4">
        <v>0.33333333333333331</v>
      </c>
      <c r="P135">
        <v>2025</v>
      </c>
      <c r="Q135" t="s">
        <v>61</v>
      </c>
    </row>
    <row r="136" spans="1:17">
      <c r="A136" t="s">
        <v>281</v>
      </c>
      <c r="B136" s="2">
        <v>46240</v>
      </c>
      <c r="C136" t="s">
        <v>189</v>
      </c>
      <c r="D136" t="s">
        <v>38</v>
      </c>
      <c r="E136" t="s">
        <v>45</v>
      </c>
      <c r="F136" t="s">
        <v>46</v>
      </c>
      <c r="G136" s="3">
        <v>2</v>
      </c>
      <c r="H136">
        <v>300</v>
      </c>
      <c r="I136">
        <v>0</v>
      </c>
      <c r="J136">
        <v>180</v>
      </c>
      <c r="K136">
        <v>600</v>
      </c>
      <c r="L136">
        <v>0</v>
      </c>
      <c r="M136">
        <v>360</v>
      </c>
      <c r="N136">
        <v>240</v>
      </c>
      <c r="O136" s="4">
        <v>0.4</v>
      </c>
      <c r="P136">
        <v>2026</v>
      </c>
      <c r="Q136" t="s">
        <v>71</v>
      </c>
    </row>
    <row r="137" spans="1:17">
      <c r="A137" t="s">
        <v>282</v>
      </c>
      <c r="B137" s="2">
        <v>46371</v>
      </c>
      <c r="C137" t="s">
        <v>155</v>
      </c>
      <c r="D137" t="s">
        <v>50</v>
      </c>
      <c r="E137" t="s">
        <v>45</v>
      </c>
      <c r="F137" t="s">
        <v>95</v>
      </c>
      <c r="G137" s="3">
        <v>1</v>
      </c>
      <c r="H137">
        <v>150</v>
      </c>
      <c r="I137">
        <v>0.05</v>
      </c>
      <c r="J137">
        <v>60</v>
      </c>
      <c r="K137">
        <v>150</v>
      </c>
      <c r="L137">
        <v>7.5</v>
      </c>
      <c r="M137">
        <v>60</v>
      </c>
      <c r="N137">
        <v>82.5</v>
      </c>
      <c r="O137" s="4">
        <v>0.55000000000000004</v>
      </c>
      <c r="P137">
        <v>2026</v>
      </c>
      <c r="Q137" t="s">
        <v>61</v>
      </c>
    </row>
    <row r="138" spans="1:17">
      <c r="A138" t="s">
        <v>283</v>
      </c>
      <c r="B138" s="2">
        <v>45791</v>
      </c>
      <c r="C138" t="s">
        <v>76</v>
      </c>
      <c r="D138" t="s">
        <v>50</v>
      </c>
      <c r="E138" t="s">
        <v>45</v>
      </c>
      <c r="F138" t="s">
        <v>168</v>
      </c>
      <c r="G138" s="3">
        <v>8</v>
      </c>
      <c r="H138">
        <v>100</v>
      </c>
      <c r="I138">
        <v>0.15</v>
      </c>
      <c r="J138">
        <v>40</v>
      </c>
      <c r="K138">
        <v>800</v>
      </c>
      <c r="L138">
        <v>120</v>
      </c>
      <c r="M138">
        <v>320</v>
      </c>
      <c r="N138">
        <v>360</v>
      </c>
      <c r="O138" s="4">
        <v>0.45</v>
      </c>
      <c r="P138">
        <v>2025</v>
      </c>
      <c r="Q138" t="s">
        <v>145</v>
      </c>
    </row>
    <row r="139" spans="1:17">
      <c r="A139" t="s">
        <v>284</v>
      </c>
      <c r="B139" s="2">
        <v>46240</v>
      </c>
      <c r="C139" t="s">
        <v>263</v>
      </c>
      <c r="D139" t="s">
        <v>55</v>
      </c>
      <c r="E139" t="s">
        <v>59</v>
      </c>
      <c r="F139" t="s">
        <v>60</v>
      </c>
      <c r="G139" s="3">
        <v>2</v>
      </c>
      <c r="H139">
        <v>1500</v>
      </c>
      <c r="I139">
        <v>0</v>
      </c>
      <c r="J139">
        <v>900</v>
      </c>
      <c r="K139">
        <v>3000</v>
      </c>
      <c r="L139">
        <v>0</v>
      </c>
      <c r="M139">
        <v>1800</v>
      </c>
      <c r="N139">
        <v>1200</v>
      </c>
      <c r="O139" s="4">
        <v>0.4</v>
      </c>
      <c r="P139">
        <v>2026</v>
      </c>
      <c r="Q139" t="s">
        <v>71</v>
      </c>
    </row>
    <row r="140" spans="1:17">
      <c r="A140" t="s">
        <v>285</v>
      </c>
      <c r="B140" s="2">
        <v>45762</v>
      </c>
      <c r="C140" t="s">
        <v>286</v>
      </c>
      <c r="D140" t="s">
        <v>44</v>
      </c>
      <c r="E140" t="s">
        <v>39</v>
      </c>
      <c r="F140" t="s">
        <v>51</v>
      </c>
      <c r="G140" s="3">
        <v>3</v>
      </c>
      <c r="H140">
        <v>250</v>
      </c>
      <c r="I140">
        <v>0</v>
      </c>
      <c r="J140">
        <v>100</v>
      </c>
      <c r="K140">
        <v>750</v>
      </c>
      <c r="L140">
        <v>0</v>
      </c>
      <c r="M140">
        <v>300</v>
      </c>
      <c r="N140">
        <v>450</v>
      </c>
      <c r="O140" s="4">
        <v>0.6</v>
      </c>
      <c r="P140">
        <v>2025</v>
      </c>
      <c r="Q140" t="s">
        <v>79</v>
      </c>
    </row>
    <row r="141" spans="1:17">
      <c r="A141" t="s">
        <v>287</v>
      </c>
      <c r="B141" s="2">
        <v>45791</v>
      </c>
      <c r="C141" t="s">
        <v>242</v>
      </c>
      <c r="D141" t="s">
        <v>50</v>
      </c>
      <c r="E141" t="s">
        <v>39</v>
      </c>
      <c r="F141" t="s">
        <v>51</v>
      </c>
      <c r="G141" s="3">
        <v>4</v>
      </c>
      <c r="H141">
        <v>250</v>
      </c>
      <c r="I141">
        <v>0.1</v>
      </c>
      <c r="J141">
        <v>100</v>
      </c>
      <c r="K141">
        <v>1000</v>
      </c>
      <c r="L141">
        <v>100</v>
      </c>
      <c r="M141">
        <v>400</v>
      </c>
      <c r="N141">
        <v>500</v>
      </c>
      <c r="O141" s="4">
        <v>0.5</v>
      </c>
      <c r="P141">
        <v>2025</v>
      </c>
      <c r="Q141" t="s">
        <v>145</v>
      </c>
    </row>
    <row r="142" spans="1:17">
      <c r="A142" t="s">
        <v>288</v>
      </c>
      <c r="B142" s="2">
        <v>46356</v>
      </c>
      <c r="C142" t="s">
        <v>260</v>
      </c>
      <c r="D142" t="s">
        <v>55</v>
      </c>
      <c r="E142" t="s">
        <v>45</v>
      </c>
      <c r="F142" t="s">
        <v>67</v>
      </c>
      <c r="G142" s="3">
        <v>2</v>
      </c>
      <c r="H142">
        <v>200</v>
      </c>
      <c r="I142">
        <v>0.15</v>
      </c>
      <c r="J142">
        <v>90</v>
      </c>
      <c r="K142">
        <v>400</v>
      </c>
      <c r="L142">
        <v>60</v>
      </c>
      <c r="M142">
        <v>180</v>
      </c>
      <c r="N142">
        <v>160</v>
      </c>
      <c r="O142" s="4">
        <v>0.4</v>
      </c>
      <c r="P142">
        <v>2026</v>
      </c>
      <c r="Q142" t="s">
        <v>98</v>
      </c>
    </row>
    <row r="143" spans="1:17">
      <c r="A143" t="s">
        <v>289</v>
      </c>
      <c r="B143" s="2">
        <v>45664</v>
      </c>
      <c r="C143" t="s">
        <v>222</v>
      </c>
      <c r="D143" t="s">
        <v>55</v>
      </c>
      <c r="E143" t="s">
        <v>59</v>
      </c>
      <c r="F143" t="s">
        <v>77</v>
      </c>
      <c r="G143" s="3">
        <v>4</v>
      </c>
      <c r="H143">
        <v>1200</v>
      </c>
      <c r="I143">
        <v>0.05</v>
      </c>
      <c r="J143">
        <v>750</v>
      </c>
      <c r="K143">
        <v>4800</v>
      </c>
      <c r="L143">
        <v>240</v>
      </c>
      <c r="M143">
        <v>3000</v>
      </c>
      <c r="N143">
        <v>1560</v>
      </c>
      <c r="O143" s="4">
        <v>0.32500000000000001</v>
      </c>
      <c r="P143">
        <v>2025</v>
      </c>
      <c r="Q143" t="s">
        <v>47</v>
      </c>
    </row>
    <row r="144" spans="1:17">
      <c r="A144" t="s">
        <v>290</v>
      </c>
      <c r="B144" s="2">
        <v>45836</v>
      </c>
      <c r="C144" t="s">
        <v>291</v>
      </c>
      <c r="D144" t="s">
        <v>50</v>
      </c>
      <c r="E144" t="s">
        <v>39</v>
      </c>
      <c r="F144" t="s">
        <v>56</v>
      </c>
      <c r="G144" s="3">
        <v>7</v>
      </c>
      <c r="H144">
        <v>800</v>
      </c>
      <c r="I144">
        <v>0.05</v>
      </c>
      <c r="J144">
        <v>450</v>
      </c>
      <c r="K144">
        <v>5600</v>
      </c>
      <c r="L144">
        <v>280</v>
      </c>
      <c r="M144">
        <v>3150</v>
      </c>
      <c r="N144">
        <v>2170</v>
      </c>
      <c r="O144" s="4">
        <v>0.38750000000000001</v>
      </c>
      <c r="P144">
        <v>2025</v>
      </c>
      <c r="Q144" t="s">
        <v>52</v>
      </c>
    </row>
    <row r="145" spans="1:17">
      <c r="A145" t="s">
        <v>292</v>
      </c>
      <c r="B145" s="2">
        <v>46035</v>
      </c>
      <c r="C145" t="s">
        <v>81</v>
      </c>
      <c r="D145" t="s">
        <v>44</v>
      </c>
      <c r="E145" t="s">
        <v>59</v>
      </c>
      <c r="F145" t="s">
        <v>77</v>
      </c>
      <c r="G145" s="3">
        <v>1</v>
      </c>
      <c r="H145">
        <v>1200</v>
      </c>
      <c r="I145">
        <v>0</v>
      </c>
      <c r="J145">
        <v>750</v>
      </c>
      <c r="K145">
        <v>1200</v>
      </c>
      <c r="L145">
        <v>0</v>
      </c>
      <c r="M145">
        <v>750</v>
      </c>
      <c r="N145">
        <v>450</v>
      </c>
      <c r="O145" s="4">
        <v>0.375</v>
      </c>
      <c r="P145">
        <v>2026</v>
      </c>
      <c r="Q145" t="s">
        <v>47</v>
      </c>
    </row>
    <row r="146" spans="1:17">
      <c r="A146" t="s">
        <v>293</v>
      </c>
      <c r="B146" s="2">
        <v>45702</v>
      </c>
      <c r="C146" t="s">
        <v>294</v>
      </c>
      <c r="D146" t="s">
        <v>38</v>
      </c>
      <c r="E146" t="s">
        <v>45</v>
      </c>
      <c r="F146" t="s">
        <v>95</v>
      </c>
      <c r="G146" s="3">
        <v>2</v>
      </c>
      <c r="H146">
        <v>150</v>
      </c>
      <c r="I146">
        <v>0.15</v>
      </c>
      <c r="J146">
        <v>60</v>
      </c>
      <c r="K146">
        <v>300</v>
      </c>
      <c r="L146">
        <v>45</v>
      </c>
      <c r="M146">
        <v>120</v>
      </c>
      <c r="N146">
        <v>135</v>
      </c>
      <c r="O146" s="4">
        <v>0.45</v>
      </c>
      <c r="P146">
        <v>2025</v>
      </c>
      <c r="Q146" t="s">
        <v>87</v>
      </c>
    </row>
    <row r="147" spans="1:17">
      <c r="A147" t="s">
        <v>295</v>
      </c>
      <c r="B147" s="2">
        <v>45702</v>
      </c>
      <c r="C147" t="s">
        <v>126</v>
      </c>
      <c r="D147" t="s">
        <v>38</v>
      </c>
      <c r="E147" t="s">
        <v>45</v>
      </c>
      <c r="F147" t="s">
        <v>95</v>
      </c>
      <c r="G147" s="3">
        <v>1</v>
      </c>
      <c r="H147">
        <v>150</v>
      </c>
      <c r="I147">
        <v>0</v>
      </c>
      <c r="J147">
        <v>60</v>
      </c>
      <c r="K147">
        <v>150</v>
      </c>
      <c r="L147">
        <v>0</v>
      </c>
      <c r="M147">
        <v>60</v>
      </c>
      <c r="N147">
        <v>90</v>
      </c>
      <c r="O147" s="4">
        <v>0.6</v>
      </c>
      <c r="P147">
        <v>2025</v>
      </c>
      <c r="Q147" t="s">
        <v>87</v>
      </c>
    </row>
    <row r="148" spans="1:17">
      <c r="A148" t="s">
        <v>296</v>
      </c>
      <c r="B148" s="2">
        <v>45774</v>
      </c>
      <c r="C148" t="s">
        <v>157</v>
      </c>
      <c r="D148" t="s">
        <v>55</v>
      </c>
      <c r="E148" t="s">
        <v>82</v>
      </c>
      <c r="F148" t="s">
        <v>101</v>
      </c>
      <c r="G148" s="3">
        <v>1</v>
      </c>
      <c r="H148">
        <v>4000</v>
      </c>
      <c r="I148">
        <v>0.1</v>
      </c>
      <c r="J148">
        <v>2700</v>
      </c>
      <c r="K148">
        <v>4000</v>
      </c>
      <c r="L148">
        <v>400</v>
      </c>
      <c r="M148">
        <v>2700</v>
      </c>
      <c r="N148">
        <v>900</v>
      </c>
      <c r="O148" s="4">
        <v>0.22500000000000001</v>
      </c>
      <c r="P148">
        <v>2025</v>
      </c>
      <c r="Q148" t="s">
        <v>79</v>
      </c>
    </row>
    <row r="149" spans="1:17">
      <c r="A149" t="s">
        <v>297</v>
      </c>
      <c r="B149" s="2">
        <v>46292</v>
      </c>
      <c r="C149" t="s">
        <v>298</v>
      </c>
      <c r="D149" t="s">
        <v>55</v>
      </c>
      <c r="E149" t="s">
        <v>82</v>
      </c>
      <c r="F149" t="s">
        <v>83</v>
      </c>
      <c r="G149" s="3">
        <v>6</v>
      </c>
      <c r="H149">
        <v>3500</v>
      </c>
      <c r="I149">
        <v>0.1</v>
      </c>
      <c r="J149">
        <v>2200</v>
      </c>
      <c r="K149">
        <v>21000</v>
      </c>
      <c r="L149">
        <v>2100</v>
      </c>
      <c r="M149">
        <v>13200</v>
      </c>
      <c r="N149">
        <v>5700</v>
      </c>
      <c r="O149" s="4">
        <v>0.27142857142857141</v>
      </c>
      <c r="P149">
        <v>2026</v>
      </c>
      <c r="Q149" t="s">
        <v>41</v>
      </c>
    </row>
    <row r="150" spans="1:17">
      <c r="A150" t="s">
        <v>299</v>
      </c>
      <c r="B150" s="2">
        <v>46209</v>
      </c>
      <c r="C150" t="s">
        <v>104</v>
      </c>
      <c r="D150" t="s">
        <v>55</v>
      </c>
      <c r="E150" t="s">
        <v>39</v>
      </c>
      <c r="F150" t="s">
        <v>40</v>
      </c>
      <c r="G150" s="3">
        <v>7</v>
      </c>
      <c r="H150">
        <v>700</v>
      </c>
      <c r="I150">
        <v>0.15</v>
      </c>
      <c r="J150">
        <v>400</v>
      </c>
      <c r="K150">
        <v>4900</v>
      </c>
      <c r="L150">
        <v>735</v>
      </c>
      <c r="M150">
        <v>2800</v>
      </c>
      <c r="N150">
        <v>1365</v>
      </c>
      <c r="O150" s="4">
        <v>0.27857142857142858</v>
      </c>
      <c r="P150">
        <v>2026</v>
      </c>
      <c r="Q150" t="s">
        <v>68</v>
      </c>
    </row>
    <row r="151" spans="1:17">
      <c r="A151" t="s">
        <v>300</v>
      </c>
      <c r="B151" s="2">
        <v>45786</v>
      </c>
      <c r="C151" t="s">
        <v>198</v>
      </c>
      <c r="D151" t="s">
        <v>50</v>
      </c>
      <c r="E151" t="s">
        <v>39</v>
      </c>
      <c r="F151" t="s">
        <v>64</v>
      </c>
      <c r="G151" s="3">
        <v>6</v>
      </c>
      <c r="H151">
        <v>2000</v>
      </c>
      <c r="I151">
        <v>0.05</v>
      </c>
      <c r="J151">
        <v>1200</v>
      </c>
      <c r="K151">
        <v>12000</v>
      </c>
      <c r="L151">
        <v>600</v>
      </c>
      <c r="M151">
        <v>7200</v>
      </c>
      <c r="N151">
        <v>4200</v>
      </c>
      <c r="O151" s="4">
        <v>0.35</v>
      </c>
      <c r="P151">
        <v>2025</v>
      </c>
      <c r="Q151" t="s">
        <v>145</v>
      </c>
    </row>
    <row r="152" spans="1:17">
      <c r="A152" t="s">
        <v>301</v>
      </c>
      <c r="B152" s="2">
        <v>45975</v>
      </c>
      <c r="C152" t="s">
        <v>124</v>
      </c>
      <c r="D152" t="s">
        <v>55</v>
      </c>
      <c r="E152" t="s">
        <v>59</v>
      </c>
      <c r="F152" t="s">
        <v>90</v>
      </c>
      <c r="G152" s="3">
        <v>8</v>
      </c>
      <c r="H152">
        <v>9000</v>
      </c>
      <c r="I152">
        <v>0.05</v>
      </c>
      <c r="J152">
        <v>6500</v>
      </c>
      <c r="K152">
        <v>72000</v>
      </c>
      <c r="L152">
        <v>3600</v>
      </c>
      <c r="M152">
        <v>52000</v>
      </c>
      <c r="N152">
        <v>16400</v>
      </c>
      <c r="O152" s="4">
        <v>0.22777777777777777</v>
      </c>
      <c r="P152">
        <v>2025</v>
      </c>
      <c r="Q152" t="s">
        <v>98</v>
      </c>
    </row>
    <row r="153" spans="1:17">
      <c r="A153" t="s">
        <v>302</v>
      </c>
      <c r="B153" s="2">
        <v>45909</v>
      </c>
      <c r="C153" t="s">
        <v>49</v>
      </c>
      <c r="D153" t="s">
        <v>44</v>
      </c>
      <c r="E153" t="s">
        <v>82</v>
      </c>
      <c r="F153" t="s">
        <v>128</v>
      </c>
      <c r="G153" s="3">
        <v>4</v>
      </c>
      <c r="H153">
        <v>6000</v>
      </c>
      <c r="I153">
        <v>0.05</v>
      </c>
      <c r="J153">
        <v>4000</v>
      </c>
      <c r="K153">
        <v>24000</v>
      </c>
      <c r="L153">
        <v>1200</v>
      </c>
      <c r="M153">
        <v>16000</v>
      </c>
      <c r="N153">
        <v>6800</v>
      </c>
      <c r="O153" s="4">
        <v>0.28333333333333333</v>
      </c>
      <c r="P153">
        <v>2025</v>
      </c>
      <c r="Q153" t="s">
        <v>41</v>
      </c>
    </row>
    <row r="154" spans="1:17">
      <c r="A154" t="s">
        <v>303</v>
      </c>
      <c r="B154" s="2">
        <v>45702</v>
      </c>
      <c r="C154" t="s">
        <v>117</v>
      </c>
      <c r="D154" t="s">
        <v>38</v>
      </c>
      <c r="E154" t="s">
        <v>39</v>
      </c>
      <c r="F154" t="s">
        <v>56</v>
      </c>
      <c r="G154" s="3">
        <v>2</v>
      </c>
      <c r="H154">
        <v>800</v>
      </c>
      <c r="I154">
        <v>0.1</v>
      </c>
      <c r="J154">
        <v>450</v>
      </c>
      <c r="K154">
        <v>1600</v>
      </c>
      <c r="L154">
        <v>160</v>
      </c>
      <c r="M154">
        <v>900</v>
      </c>
      <c r="N154">
        <v>540</v>
      </c>
      <c r="O154" s="4">
        <v>0.33750000000000002</v>
      </c>
      <c r="P154">
        <v>2025</v>
      </c>
      <c r="Q154" t="s">
        <v>87</v>
      </c>
    </row>
    <row r="155" spans="1:17">
      <c r="A155" t="s">
        <v>304</v>
      </c>
      <c r="B155" s="2">
        <v>46134</v>
      </c>
      <c r="C155" t="s">
        <v>305</v>
      </c>
      <c r="D155" t="s">
        <v>50</v>
      </c>
      <c r="E155" t="s">
        <v>39</v>
      </c>
      <c r="F155" t="s">
        <v>56</v>
      </c>
      <c r="G155" s="3">
        <v>3</v>
      </c>
      <c r="H155">
        <v>800</v>
      </c>
      <c r="I155">
        <v>0</v>
      </c>
      <c r="J155">
        <v>450</v>
      </c>
      <c r="K155">
        <v>2400</v>
      </c>
      <c r="L155">
        <v>0</v>
      </c>
      <c r="M155">
        <v>1350</v>
      </c>
      <c r="N155">
        <v>1050</v>
      </c>
      <c r="O155" s="4">
        <v>0.4375</v>
      </c>
      <c r="P155">
        <v>2026</v>
      </c>
      <c r="Q155" t="s">
        <v>79</v>
      </c>
    </row>
    <row r="156" spans="1:17">
      <c r="A156" t="s">
        <v>306</v>
      </c>
      <c r="B156" s="2">
        <v>45748</v>
      </c>
      <c r="C156" t="s">
        <v>124</v>
      </c>
      <c r="D156" t="s">
        <v>50</v>
      </c>
      <c r="E156" t="s">
        <v>39</v>
      </c>
      <c r="F156" t="s">
        <v>40</v>
      </c>
      <c r="G156" s="3">
        <v>3</v>
      </c>
      <c r="H156">
        <v>700</v>
      </c>
      <c r="I156">
        <v>0.15</v>
      </c>
      <c r="J156">
        <v>400</v>
      </c>
      <c r="K156">
        <v>2100</v>
      </c>
      <c r="L156">
        <v>315</v>
      </c>
      <c r="M156">
        <v>1200</v>
      </c>
      <c r="N156">
        <v>585</v>
      </c>
      <c r="O156" s="4">
        <v>0.27857142857142858</v>
      </c>
      <c r="P156">
        <v>2025</v>
      </c>
      <c r="Q156" t="s">
        <v>79</v>
      </c>
    </row>
    <row r="157" spans="1:17">
      <c r="A157" t="s">
        <v>307</v>
      </c>
      <c r="B157" s="2">
        <v>45896</v>
      </c>
      <c r="C157" t="s">
        <v>113</v>
      </c>
      <c r="D157" t="s">
        <v>44</v>
      </c>
      <c r="E157" t="s">
        <v>82</v>
      </c>
      <c r="F157" t="s">
        <v>128</v>
      </c>
      <c r="G157" s="3">
        <v>3</v>
      </c>
      <c r="H157">
        <v>6000</v>
      </c>
      <c r="I157">
        <v>0.05</v>
      </c>
      <c r="J157">
        <v>4000</v>
      </c>
      <c r="K157">
        <v>18000</v>
      </c>
      <c r="L157">
        <v>900</v>
      </c>
      <c r="M157">
        <v>12000</v>
      </c>
      <c r="N157">
        <v>5100</v>
      </c>
      <c r="O157" s="4">
        <v>0.28333333333333333</v>
      </c>
      <c r="P157">
        <v>2025</v>
      </c>
      <c r="Q157" t="s">
        <v>71</v>
      </c>
    </row>
    <row r="158" spans="1:17">
      <c r="A158" t="s">
        <v>308</v>
      </c>
      <c r="B158" s="2">
        <v>45674</v>
      </c>
      <c r="C158" t="s">
        <v>153</v>
      </c>
      <c r="D158" t="s">
        <v>44</v>
      </c>
      <c r="E158" t="s">
        <v>82</v>
      </c>
      <c r="F158" t="s">
        <v>86</v>
      </c>
      <c r="G158" s="3">
        <v>1</v>
      </c>
      <c r="H158">
        <v>4500</v>
      </c>
      <c r="I158">
        <v>0.1</v>
      </c>
      <c r="J158">
        <v>3000</v>
      </c>
      <c r="K158">
        <v>4500</v>
      </c>
      <c r="L158">
        <v>450</v>
      </c>
      <c r="M158">
        <v>3000</v>
      </c>
      <c r="N158">
        <v>1050</v>
      </c>
      <c r="O158" s="4">
        <v>0.23333333333333334</v>
      </c>
      <c r="P158">
        <v>2025</v>
      </c>
      <c r="Q158" t="s">
        <v>47</v>
      </c>
    </row>
    <row r="159" spans="1:17">
      <c r="A159" t="s">
        <v>309</v>
      </c>
      <c r="B159" s="2">
        <v>46259</v>
      </c>
      <c r="C159" t="s">
        <v>170</v>
      </c>
      <c r="D159" t="s">
        <v>38</v>
      </c>
      <c r="E159" t="s">
        <v>39</v>
      </c>
      <c r="F159" t="s">
        <v>56</v>
      </c>
      <c r="G159" s="3">
        <v>6</v>
      </c>
      <c r="H159">
        <v>800</v>
      </c>
      <c r="I159">
        <v>0</v>
      </c>
      <c r="J159">
        <v>450</v>
      </c>
      <c r="K159">
        <v>4800</v>
      </c>
      <c r="L159">
        <v>0</v>
      </c>
      <c r="M159">
        <v>2700</v>
      </c>
      <c r="N159">
        <v>2100</v>
      </c>
      <c r="O159" s="4">
        <v>0.4375</v>
      </c>
      <c r="P159">
        <v>2026</v>
      </c>
      <c r="Q159" t="s">
        <v>71</v>
      </c>
    </row>
    <row r="160" spans="1:17">
      <c r="A160" t="s">
        <v>310</v>
      </c>
      <c r="B160" s="2">
        <v>45703</v>
      </c>
      <c r="C160" t="s">
        <v>260</v>
      </c>
      <c r="D160" t="s">
        <v>44</v>
      </c>
      <c r="E160" t="s">
        <v>82</v>
      </c>
      <c r="F160" t="s">
        <v>83</v>
      </c>
      <c r="G160" s="3">
        <v>2</v>
      </c>
      <c r="H160">
        <v>3500</v>
      </c>
      <c r="I160">
        <v>0.15</v>
      </c>
      <c r="J160">
        <v>2200</v>
      </c>
      <c r="K160">
        <v>7000</v>
      </c>
      <c r="L160">
        <v>1050</v>
      </c>
      <c r="M160">
        <v>4400</v>
      </c>
      <c r="N160">
        <v>1550</v>
      </c>
      <c r="O160" s="4">
        <v>0.22142857142857142</v>
      </c>
      <c r="P160">
        <v>2025</v>
      </c>
      <c r="Q160" t="s">
        <v>87</v>
      </c>
    </row>
    <row r="161" spans="1:17">
      <c r="A161" t="s">
        <v>311</v>
      </c>
      <c r="B161" s="2">
        <v>45816</v>
      </c>
      <c r="C161" t="s">
        <v>92</v>
      </c>
      <c r="D161" t="s">
        <v>55</v>
      </c>
      <c r="E161" t="s">
        <v>39</v>
      </c>
      <c r="F161" t="s">
        <v>64</v>
      </c>
      <c r="G161" s="3">
        <v>2</v>
      </c>
      <c r="H161">
        <v>2000</v>
      </c>
      <c r="I161">
        <v>0.05</v>
      </c>
      <c r="J161">
        <v>1200</v>
      </c>
      <c r="K161">
        <v>4000</v>
      </c>
      <c r="L161">
        <v>200</v>
      </c>
      <c r="M161">
        <v>2400</v>
      </c>
      <c r="N161">
        <v>1400</v>
      </c>
      <c r="O161" s="4">
        <v>0.35</v>
      </c>
      <c r="P161">
        <v>2025</v>
      </c>
      <c r="Q161" t="s">
        <v>52</v>
      </c>
    </row>
    <row r="162" spans="1:17">
      <c r="A162" t="s">
        <v>312</v>
      </c>
      <c r="B162" s="2">
        <v>46283</v>
      </c>
      <c r="C162" t="s">
        <v>270</v>
      </c>
      <c r="D162" t="s">
        <v>55</v>
      </c>
      <c r="E162" t="s">
        <v>45</v>
      </c>
      <c r="F162" t="s">
        <v>67</v>
      </c>
      <c r="G162" s="3">
        <v>7</v>
      </c>
      <c r="H162">
        <v>200</v>
      </c>
      <c r="I162">
        <v>0</v>
      </c>
      <c r="J162">
        <v>90</v>
      </c>
      <c r="K162">
        <v>1400</v>
      </c>
      <c r="L162">
        <v>0</v>
      </c>
      <c r="M162">
        <v>630</v>
      </c>
      <c r="N162">
        <v>770</v>
      </c>
      <c r="O162" s="4">
        <v>0.55000000000000004</v>
      </c>
      <c r="P162">
        <v>2026</v>
      </c>
      <c r="Q162" t="s">
        <v>41</v>
      </c>
    </row>
    <row r="163" spans="1:17">
      <c r="A163" t="s">
        <v>313</v>
      </c>
      <c r="B163" s="2">
        <v>46162</v>
      </c>
      <c r="C163" t="s">
        <v>117</v>
      </c>
      <c r="D163" t="s">
        <v>38</v>
      </c>
      <c r="E163" t="s">
        <v>59</v>
      </c>
      <c r="F163" t="s">
        <v>60</v>
      </c>
      <c r="G163" s="3">
        <v>1</v>
      </c>
      <c r="H163">
        <v>1500</v>
      </c>
      <c r="I163">
        <v>0</v>
      </c>
      <c r="J163">
        <v>900</v>
      </c>
      <c r="K163">
        <v>1500</v>
      </c>
      <c r="L163">
        <v>0</v>
      </c>
      <c r="M163">
        <v>900</v>
      </c>
      <c r="N163">
        <v>600</v>
      </c>
      <c r="O163" s="4">
        <v>0.4</v>
      </c>
      <c r="P163">
        <v>2026</v>
      </c>
      <c r="Q163" t="s">
        <v>145</v>
      </c>
    </row>
    <row r="164" spans="1:17">
      <c r="A164" t="s">
        <v>314</v>
      </c>
      <c r="B164" s="2">
        <v>46142</v>
      </c>
      <c r="C164" t="s">
        <v>155</v>
      </c>
      <c r="D164" t="s">
        <v>55</v>
      </c>
      <c r="E164" t="s">
        <v>39</v>
      </c>
      <c r="F164" t="s">
        <v>56</v>
      </c>
      <c r="G164" s="3">
        <v>8</v>
      </c>
      <c r="H164">
        <v>800</v>
      </c>
      <c r="I164">
        <v>0.05</v>
      </c>
      <c r="J164">
        <v>450</v>
      </c>
      <c r="K164">
        <v>6400</v>
      </c>
      <c r="L164">
        <v>320</v>
      </c>
      <c r="M164">
        <v>3600</v>
      </c>
      <c r="N164">
        <v>2480</v>
      </c>
      <c r="O164" s="4">
        <v>0.38750000000000001</v>
      </c>
      <c r="P164">
        <v>2026</v>
      </c>
      <c r="Q164" t="s">
        <v>79</v>
      </c>
    </row>
    <row r="165" spans="1:17">
      <c r="A165" t="s">
        <v>315</v>
      </c>
      <c r="B165" s="2">
        <v>46050</v>
      </c>
      <c r="C165" t="s">
        <v>115</v>
      </c>
      <c r="D165" t="s">
        <v>38</v>
      </c>
      <c r="E165" t="s">
        <v>39</v>
      </c>
      <c r="F165" t="s">
        <v>51</v>
      </c>
      <c r="G165" s="3">
        <v>2</v>
      </c>
      <c r="H165">
        <v>250</v>
      </c>
      <c r="I165">
        <v>0.05</v>
      </c>
      <c r="J165">
        <v>100</v>
      </c>
      <c r="K165">
        <v>500</v>
      </c>
      <c r="L165">
        <v>25</v>
      </c>
      <c r="M165">
        <v>200</v>
      </c>
      <c r="N165">
        <v>275</v>
      </c>
      <c r="O165" s="4">
        <v>0.55000000000000004</v>
      </c>
      <c r="P165">
        <v>2026</v>
      </c>
      <c r="Q165" t="s">
        <v>47</v>
      </c>
    </row>
    <row r="166" spans="1:17">
      <c r="A166" t="s">
        <v>316</v>
      </c>
      <c r="B166" s="2">
        <v>45839</v>
      </c>
      <c r="C166" t="s">
        <v>317</v>
      </c>
      <c r="D166" t="s">
        <v>50</v>
      </c>
      <c r="E166" t="s">
        <v>59</v>
      </c>
      <c r="F166" t="s">
        <v>60</v>
      </c>
      <c r="G166" s="3">
        <v>2</v>
      </c>
      <c r="H166">
        <v>1500</v>
      </c>
      <c r="I166">
        <v>0</v>
      </c>
      <c r="J166">
        <v>900</v>
      </c>
      <c r="K166">
        <v>3000</v>
      </c>
      <c r="L166">
        <v>0</v>
      </c>
      <c r="M166">
        <v>1800</v>
      </c>
      <c r="N166">
        <v>1200</v>
      </c>
      <c r="O166" s="4">
        <v>0.4</v>
      </c>
      <c r="P166">
        <v>2025</v>
      </c>
      <c r="Q166" t="s">
        <v>68</v>
      </c>
    </row>
    <row r="167" spans="1:17">
      <c r="A167" t="s">
        <v>318</v>
      </c>
      <c r="B167" s="2">
        <v>45685</v>
      </c>
      <c r="C167" t="s">
        <v>162</v>
      </c>
      <c r="D167" t="s">
        <v>55</v>
      </c>
      <c r="E167" t="s">
        <v>59</v>
      </c>
      <c r="F167" t="s">
        <v>60</v>
      </c>
      <c r="G167" s="3">
        <v>1</v>
      </c>
      <c r="H167">
        <v>1500</v>
      </c>
      <c r="I167">
        <v>0</v>
      </c>
      <c r="J167">
        <v>900</v>
      </c>
      <c r="K167">
        <v>1500</v>
      </c>
      <c r="L167">
        <v>0</v>
      </c>
      <c r="M167">
        <v>900</v>
      </c>
      <c r="N167">
        <v>600</v>
      </c>
      <c r="O167" s="4">
        <v>0.4</v>
      </c>
      <c r="P167">
        <v>2025</v>
      </c>
      <c r="Q167" t="s">
        <v>47</v>
      </c>
    </row>
    <row r="168" spans="1:17">
      <c r="A168" t="s">
        <v>319</v>
      </c>
      <c r="B168" s="2">
        <v>45942</v>
      </c>
      <c r="C168" t="s">
        <v>201</v>
      </c>
      <c r="D168" t="s">
        <v>55</v>
      </c>
      <c r="E168" t="s">
        <v>82</v>
      </c>
      <c r="F168" t="s">
        <v>128</v>
      </c>
      <c r="G168" s="3">
        <v>1</v>
      </c>
      <c r="H168">
        <v>6000</v>
      </c>
      <c r="I168">
        <v>0</v>
      </c>
      <c r="J168">
        <v>4000</v>
      </c>
      <c r="K168">
        <v>6000</v>
      </c>
      <c r="L168">
        <v>0</v>
      </c>
      <c r="M168">
        <v>4000</v>
      </c>
      <c r="N168">
        <v>2000</v>
      </c>
      <c r="O168" s="4">
        <v>0.33333333333333331</v>
      </c>
      <c r="P168">
        <v>2025</v>
      </c>
      <c r="Q168" t="s">
        <v>74</v>
      </c>
    </row>
    <row r="169" spans="1:17">
      <c r="A169" t="s">
        <v>320</v>
      </c>
      <c r="B169" s="2">
        <v>45954</v>
      </c>
      <c r="C169" t="s">
        <v>66</v>
      </c>
      <c r="D169" t="s">
        <v>55</v>
      </c>
      <c r="E169" t="s">
        <v>82</v>
      </c>
      <c r="F169" t="s">
        <v>86</v>
      </c>
      <c r="G169" s="3">
        <v>4</v>
      </c>
      <c r="H169">
        <v>4500</v>
      </c>
      <c r="I169">
        <v>0.05</v>
      </c>
      <c r="J169">
        <v>3000</v>
      </c>
      <c r="K169">
        <v>18000</v>
      </c>
      <c r="L169">
        <v>900</v>
      </c>
      <c r="M169">
        <v>12000</v>
      </c>
      <c r="N169">
        <v>5100</v>
      </c>
      <c r="O169" s="4">
        <v>0.28333333333333333</v>
      </c>
      <c r="P169">
        <v>2025</v>
      </c>
      <c r="Q169" t="s">
        <v>74</v>
      </c>
    </row>
    <row r="170" spans="1:17">
      <c r="A170" t="s">
        <v>321</v>
      </c>
      <c r="B170" s="2">
        <v>45942</v>
      </c>
      <c r="C170" t="s">
        <v>322</v>
      </c>
      <c r="D170" t="s">
        <v>50</v>
      </c>
      <c r="E170" t="s">
        <v>45</v>
      </c>
      <c r="F170" t="s">
        <v>67</v>
      </c>
      <c r="G170" s="3">
        <v>1</v>
      </c>
      <c r="H170">
        <v>200</v>
      </c>
      <c r="I170">
        <v>0.05</v>
      </c>
      <c r="J170">
        <v>90</v>
      </c>
      <c r="K170">
        <v>200</v>
      </c>
      <c r="L170">
        <v>10</v>
      </c>
      <c r="M170">
        <v>90</v>
      </c>
      <c r="N170">
        <v>100</v>
      </c>
      <c r="O170" s="4">
        <v>0.5</v>
      </c>
      <c r="P170">
        <v>2025</v>
      </c>
      <c r="Q170" t="s">
        <v>74</v>
      </c>
    </row>
    <row r="171" spans="1:17">
      <c r="A171" t="s">
        <v>323</v>
      </c>
      <c r="B171" s="2">
        <v>46256</v>
      </c>
      <c r="C171" t="s">
        <v>89</v>
      </c>
      <c r="D171" t="s">
        <v>50</v>
      </c>
      <c r="E171" t="s">
        <v>59</v>
      </c>
      <c r="F171" t="s">
        <v>158</v>
      </c>
      <c r="G171" s="3">
        <v>6</v>
      </c>
      <c r="H171">
        <v>500</v>
      </c>
      <c r="I171">
        <v>0</v>
      </c>
      <c r="J171">
        <v>250</v>
      </c>
      <c r="K171">
        <v>3000</v>
      </c>
      <c r="L171">
        <v>0</v>
      </c>
      <c r="M171">
        <v>1500</v>
      </c>
      <c r="N171">
        <v>1500</v>
      </c>
      <c r="O171" s="4">
        <v>0.5</v>
      </c>
      <c r="P171">
        <v>2026</v>
      </c>
      <c r="Q171" t="s">
        <v>71</v>
      </c>
    </row>
    <row r="172" spans="1:17">
      <c r="A172" t="s">
        <v>324</v>
      </c>
      <c r="B172" s="2">
        <v>46252</v>
      </c>
      <c r="C172" t="s">
        <v>263</v>
      </c>
      <c r="D172" t="s">
        <v>38</v>
      </c>
      <c r="E172" t="s">
        <v>45</v>
      </c>
      <c r="F172" t="s">
        <v>46</v>
      </c>
      <c r="G172" s="3">
        <v>3</v>
      </c>
      <c r="H172">
        <v>300</v>
      </c>
      <c r="I172">
        <v>0.1</v>
      </c>
      <c r="J172">
        <v>180</v>
      </c>
      <c r="K172">
        <v>900</v>
      </c>
      <c r="L172">
        <v>90</v>
      </c>
      <c r="M172">
        <v>540</v>
      </c>
      <c r="N172">
        <v>270</v>
      </c>
      <c r="O172" s="4">
        <v>0.3</v>
      </c>
      <c r="P172">
        <v>2026</v>
      </c>
      <c r="Q172" t="s">
        <v>71</v>
      </c>
    </row>
    <row r="173" spans="1:17">
      <c r="A173" t="s">
        <v>325</v>
      </c>
      <c r="B173" s="2">
        <v>45675</v>
      </c>
      <c r="C173" t="s">
        <v>97</v>
      </c>
      <c r="D173" t="s">
        <v>55</v>
      </c>
      <c r="E173" t="s">
        <v>45</v>
      </c>
      <c r="F173" t="s">
        <v>46</v>
      </c>
      <c r="G173" s="3">
        <v>3</v>
      </c>
      <c r="H173">
        <v>300</v>
      </c>
      <c r="I173">
        <v>0.1</v>
      </c>
      <c r="J173">
        <v>180</v>
      </c>
      <c r="K173">
        <v>900</v>
      </c>
      <c r="L173">
        <v>90</v>
      </c>
      <c r="M173">
        <v>540</v>
      </c>
      <c r="N173">
        <v>270</v>
      </c>
      <c r="O173" s="4">
        <v>0.3</v>
      </c>
      <c r="P173">
        <v>2025</v>
      </c>
      <c r="Q173" t="s">
        <v>47</v>
      </c>
    </row>
    <row r="174" spans="1:17">
      <c r="A174" t="s">
        <v>326</v>
      </c>
      <c r="B174" s="2">
        <v>46208</v>
      </c>
      <c r="C174" t="s">
        <v>270</v>
      </c>
      <c r="D174" t="s">
        <v>50</v>
      </c>
      <c r="E174" t="s">
        <v>45</v>
      </c>
      <c r="F174" t="s">
        <v>46</v>
      </c>
      <c r="G174" s="3">
        <v>8</v>
      </c>
      <c r="H174">
        <v>300</v>
      </c>
      <c r="I174">
        <v>0.15</v>
      </c>
      <c r="J174">
        <v>180</v>
      </c>
      <c r="K174">
        <v>2400</v>
      </c>
      <c r="L174">
        <v>360</v>
      </c>
      <c r="M174">
        <v>1440</v>
      </c>
      <c r="N174">
        <v>600</v>
      </c>
      <c r="O174" s="4">
        <v>0.25</v>
      </c>
      <c r="P174">
        <v>2026</v>
      </c>
      <c r="Q174" t="s">
        <v>68</v>
      </c>
    </row>
    <row r="175" spans="1:17">
      <c r="A175" t="s">
        <v>327</v>
      </c>
      <c r="B175" s="2">
        <v>46314</v>
      </c>
      <c r="C175" t="s">
        <v>115</v>
      </c>
      <c r="D175" t="s">
        <v>55</v>
      </c>
      <c r="E175" t="s">
        <v>39</v>
      </c>
      <c r="F175" t="s">
        <v>51</v>
      </c>
      <c r="G175" s="3">
        <v>7</v>
      </c>
      <c r="H175">
        <v>250</v>
      </c>
      <c r="I175">
        <v>0.15</v>
      </c>
      <c r="J175">
        <v>100</v>
      </c>
      <c r="K175">
        <v>1750</v>
      </c>
      <c r="L175">
        <v>262.5</v>
      </c>
      <c r="M175">
        <v>700</v>
      </c>
      <c r="N175">
        <v>787.5</v>
      </c>
      <c r="O175" s="4">
        <v>0.45</v>
      </c>
      <c r="P175">
        <v>2026</v>
      </c>
      <c r="Q175" t="s">
        <v>74</v>
      </c>
    </row>
    <row r="176" spans="1:17">
      <c r="A176" t="s">
        <v>328</v>
      </c>
      <c r="B176" s="2">
        <v>45917</v>
      </c>
      <c r="C176" t="s">
        <v>216</v>
      </c>
      <c r="D176" t="s">
        <v>38</v>
      </c>
      <c r="E176" t="s">
        <v>45</v>
      </c>
      <c r="F176" t="s">
        <v>95</v>
      </c>
      <c r="G176" s="3">
        <v>1</v>
      </c>
      <c r="H176">
        <v>150</v>
      </c>
      <c r="I176">
        <v>0</v>
      </c>
      <c r="J176">
        <v>60</v>
      </c>
      <c r="K176">
        <v>150</v>
      </c>
      <c r="L176">
        <v>0</v>
      </c>
      <c r="M176">
        <v>60</v>
      </c>
      <c r="N176">
        <v>90</v>
      </c>
      <c r="O176" s="4">
        <v>0.6</v>
      </c>
      <c r="P176">
        <v>2025</v>
      </c>
      <c r="Q176" t="s">
        <v>41</v>
      </c>
    </row>
    <row r="177" spans="1:17">
      <c r="A177" t="s">
        <v>329</v>
      </c>
      <c r="B177" s="2">
        <v>46290</v>
      </c>
      <c r="C177" t="s">
        <v>43</v>
      </c>
      <c r="D177" t="s">
        <v>44</v>
      </c>
      <c r="E177" t="s">
        <v>39</v>
      </c>
      <c r="F177" t="s">
        <v>51</v>
      </c>
      <c r="G177" s="3">
        <v>3</v>
      </c>
      <c r="H177">
        <v>250</v>
      </c>
      <c r="I177">
        <v>0.15</v>
      </c>
      <c r="J177">
        <v>100</v>
      </c>
      <c r="K177">
        <v>750</v>
      </c>
      <c r="L177">
        <v>112.5</v>
      </c>
      <c r="M177">
        <v>300</v>
      </c>
      <c r="N177">
        <v>337.5</v>
      </c>
      <c r="O177" s="4">
        <v>0.45</v>
      </c>
      <c r="P177">
        <v>2026</v>
      </c>
      <c r="Q177" t="s">
        <v>41</v>
      </c>
    </row>
    <row r="178" spans="1:17">
      <c r="A178" t="s">
        <v>330</v>
      </c>
      <c r="B178" s="2">
        <v>46046</v>
      </c>
      <c r="C178" t="s">
        <v>89</v>
      </c>
      <c r="D178" t="s">
        <v>44</v>
      </c>
      <c r="E178" t="s">
        <v>82</v>
      </c>
      <c r="F178" t="s">
        <v>101</v>
      </c>
      <c r="G178" s="3">
        <v>8</v>
      </c>
      <c r="H178">
        <v>4000</v>
      </c>
      <c r="I178">
        <v>0.1</v>
      </c>
      <c r="J178">
        <v>2700</v>
      </c>
      <c r="K178">
        <v>32000</v>
      </c>
      <c r="L178">
        <v>3200</v>
      </c>
      <c r="M178">
        <v>21600</v>
      </c>
      <c r="N178">
        <v>7200</v>
      </c>
      <c r="O178" s="4">
        <v>0.22500000000000001</v>
      </c>
      <c r="P178">
        <v>2026</v>
      </c>
      <c r="Q178" t="s">
        <v>47</v>
      </c>
    </row>
    <row r="179" spans="1:17">
      <c r="A179" t="s">
        <v>331</v>
      </c>
      <c r="B179" s="2">
        <v>46338</v>
      </c>
      <c r="C179" t="s">
        <v>291</v>
      </c>
      <c r="D179" t="s">
        <v>38</v>
      </c>
      <c r="E179" t="s">
        <v>82</v>
      </c>
      <c r="F179" t="s">
        <v>128</v>
      </c>
      <c r="G179" s="3">
        <v>2</v>
      </c>
      <c r="H179">
        <v>6000</v>
      </c>
      <c r="I179">
        <v>0.15</v>
      </c>
      <c r="J179">
        <v>4000</v>
      </c>
      <c r="K179">
        <v>12000</v>
      </c>
      <c r="L179">
        <v>1800</v>
      </c>
      <c r="M179">
        <v>8000</v>
      </c>
      <c r="N179">
        <v>2200</v>
      </c>
      <c r="O179" s="4">
        <v>0.18333333333333332</v>
      </c>
      <c r="P179">
        <v>2026</v>
      </c>
      <c r="Q179" t="s">
        <v>98</v>
      </c>
    </row>
    <row r="180" spans="1:17">
      <c r="A180" t="s">
        <v>332</v>
      </c>
      <c r="B180" s="2">
        <v>45676</v>
      </c>
      <c r="C180" t="s">
        <v>155</v>
      </c>
      <c r="D180" t="s">
        <v>44</v>
      </c>
      <c r="E180" t="s">
        <v>39</v>
      </c>
      <c r="F180" t="s">
        <v>51</v>
      </c>
      <c r="G180" s="3">
        <v>5</v>
      </c>
      <c r="H180">
        <v>250</v>
      </c>
      <c r="I180">
        <v>0.15</v>
      </c>
      <c r="J180">
        <v>100</v>
      </c>
      <c r="K180">
        <v>1250</v>
      </c>
      <c r="L180">
        <v>187.5</v>
      </c>
      <c r="M180">
        <v>500</v>
      </c>
      <c r="N180">
        <v>562.5</v>
      </c>
      <c r="O180" s="4">
        <v>0.45</v>
      </c>
      <c r="P180">
        <v>2025</v>
      </c>
      <c r="Q180" t="s">
        <v>47</v>
      </c>
    </row>
    <row r="181" spans="1:17">
      <c r="A181" t="s">
        <v>333</v>
      </c>
      <c r="B181" s="2">
        <v>46152</v>
      </c>
      <c r="C181" t="s">
        <v>334</v>
      </c>
      <c r="D181" t="s">
        <v>44</v>
      </c>
      <c r="E181" t="s">
        <v>59</v>
      </c>
      <c r="F181" t="s">
        <v>77</v>
      </c>
      <c r="G181" s="3">
        <v>1</v>
      </c>
      <c r="H181">
        <v>1200</v>
      </c>
      <c r="I181">
        <v>0.15</v>
      </c>
      <c r="J181">
        <v>750</v>
      </c>
      <c r="K181">
        <v>1200</v>
      </c>
      <c r="L181">
        <v>180</v>
      </c>
      <c r="M181">
        <v>750</v>
      </c>
      <c r="N181">
        <v>270</v>
      </c>
      <c r="O181" s="4">
        <v>0.22500000000000001</v>
      </c>
      <c r="P181">
        <v>2026</v>
      </c>
      <c r="Q181" t="s">
        <v>145</v>
      </c>
    </row>
    <row r="182" spans="1:17">
      <c r="A182" t="s">
        <v>335</v>
      </c>
      <c r="B182" s="2">
        <v>46266</v>
      </c>
      <c r="C182" t="s">
        <v>336</v>
      </c>
      <c r="D182" t="s">
        <v>38</v>
      </c>
      <c r="E182" t="s">
        <v>45</v>
      </c>
      <c r="F182" t="s">
        <v>95</v>
      </c>
      <c r="G182" s="3">
        <v>6</v>
      </c>
      <c r="H182">
        <v>150</v>
      </c>
      <c r="I182">
        <v>0.05</v>
      </c>
      <c r="J182">
        <v>60</v>
      </c>
      <c r="K182">
        <v>900</v>
      </c>
      <c r="L182">
        <v>45</v>
      </c>
      <c r="M182">
        <v>360</v>
      </c>
      <c r="N182">
        <v>495</v>
      </c>
      <c r="O182" s="4">
        <v>0.55000000000000004</v>
      </c>
      <c r="P182">
        <v>2026</v>
      </c>
      <c r="Q182" t="s">
        <v>41</v>
      </c>
    </row>
    <row r="183" spans="1:17">
      <c r="A183" t="s">
        <v>337</v>
      </c>
      <c r="B183" s="2">
        <v>46183</v>
      </c>
      <c r="C183" t="s">
        <v>143</v>
      </c>
      <c r="D183" t="s">
        <v>44</v>
      </c>
      <c r="E183" t="s">
        <v>45</v>
      </c>
      <c r="F183" t="s">
        <v>67</v>
      </c>
      <c r="G183" s="3">
        <v>2</v>
      </c>
      <c r="H183">
        <v>200</v>
      </c>
      <c r="I183">
        <v>0</v>
      </c>
      <c r="J183">
        <v>90</v>
      </c>
      <c r="K183">
        <v>400</v>
      </c>
      <c r="L183">
        <v>0</v>
      </c>
      <c r="M183">
        <v>180</v>
      </c>
      <c r="N183">
        <v>220</v>
      </c>
      <c r="O183" s="4">
        <v>0.55000000000000004</v>
      </c>
      <c r="P183">
        <v>2026</v>
      </c>
      <c r="Q183" t="s">
        <v>52</v>
      </c>
    </row>
    <row r="184" spans="1:17">
      <c r="A184" t="s">
        <v>338</v>
      </c>
      <c r="B184" s="2">
        <v>45785</v>
      </c>
      <c r="C184" t="s">
        <v>120</v>
      </c>
      <c r="D184" t="s">
        <v>38</v>
      </c>
      <c r="E184" t="s">
        <v>59</v>
      </c>
      <c r="F184" t="s">
        <v>60</v>
      </c>
      <c r="G184" s="3">
        <v>6</v>
      </c>
      <c r="H184">
        <v>1500</v>
      </c>
      <c r="I184">
        <v>0</v>
      </c>
      <c r="J184">
        <v>900</v>
      </c>
      <c r="K184">
        <v>9000</v>
      </c>
      <c r="L184">
        <v>0</v>
      </c>
      <c r="M184">
        <v>5400</v>
      </c>
      <c r="N184">
        <v>3600</v>
      </c>
      <c r="O184" s="4">
        <v>0.4</v>
      </c>
      <c r="P184">
        <v>2025</v>
      </c>
      <c r="Q184" t="s">
        <v>145</v>
      </c>
    </row>
    <row r="185" spans="1:17">
      <c r="A185" t="s">
        <v>339</v>
      </c>
      <c r="B185" s="2">
        <v>46261</v>
      </c>
      <c r="C185" t="s">
        <v>155</v>
      </c>
      <c r="D185" t="s">
        <v>44</v>
      </c>
      <c r="E185" t="s">
        <v>45</v>
      </c>
      <c r="F185" t="s">
        <v>95</v>
      </c>
      <c r="G185" s="3">
        <v>6</v>
      </c>
      <c r="H185">
        <v>150</v>
      </c>
      <c r="I185">
        <v>0.15</v>
      </c>
      <c r="J185">
        <v>60</v>
      </c>
      <c r="K185">
        <v>900</v>
      </c>
      <c r="L185">
        <v>135</v>
      </c>
      <c r="M185">
        <v>360</v>
      </c>
      <c r="N185">
        <v>405</v>
      </c>
      <c r="O185" s="4">
        <v>0.45</v>
      </c>
      <c r="P185">
        <v>2026</v>
      </c>
      <c r="Q185" t="s">
        <v>71</v>
      </c>
    </row>
    <row r="186" spans="1:17">
      <c r="A186" t="s">
        <v>340</v>
      </c>
      <c r="B186" s="2">
        <v>46344</v>
      </c>
      <c r="C186" t="s">
        <v>341</v>
      </c>
      <c r="D186" t="s">
        <v>50</v>
      </c>
      <c r="E186" t="s">
        <v>82</v>
      </c>
      <c r="F186" t="s">
        <v>83</v>
      </c>
      <c r="G186" s="3">
        <v>7</v>
      </c>
      <c r="H186">
        <v>3500</v>
      </c>
      <c r="I186">
        <v>0.15</v>
      </c>
      <c r="J186">
        <v>2200</v>
      </c>
      <c r="K186">
        <v>24500</v>
      </c>
      <c r="L186">
        <v>3675</v>
      </c>
      <c r="M186">
        <v>15400</v>
      </c>
      <c r="N186">
        <v>5425</v>
      </c>
      <c r="O186" s="4">
        <v>0.22142857142857142</v>
      </c>
      <c r="P186">
        <v>2026</v>
      </c>
      <c r="Q186" t="s">
        <v>98</v>
      </c>
    </row>
    <row r="187" spans="1:17">
      <c r="A187" t="s">
        <v>342</v>
      </c>
      <c r="B187" s="2">
        <v>45885</v>
      </c>
      <c r="C187" t="s">
        <v>236</v>
      </c>
      <c r="D187" t="s">
        <v>44</v>
      </c>
      <c r="E187" t="s">
        <v>82</v>
      </c>
      <c r="F187" t="s">
        <v>83</v>
      </c>
      <c r="G187" s="3">
        <v>2</v>
      </c>
      <c r="H187">
        <v>3500</v>
      </c>
      <c r="I187">
        <v>0</v>
      </c>
      <c r="J187">
        <v>2200</v>
      </c>
      <c r="K187">
        <v>7000</v>
      </c>
      <c r="L187">
        <v>0</v>
      </c>
      <c r="M187">
        <v>4400</v>
      </c>
      <c r="N187">
        <v>2600</v>
      </c>
      <c r="O187" s="4">
        <v>0.37142857142857144</v>
      </c>
      <c r="P187">
        <v>2025</v>
      </c>
      <c r="Q187" t="s">
        <v>71</v>
      </c>
    </row>
    <row r="188" spans="1:17">
      <c r="A188" t="s">
        <v>343</v>
      </c>
      <c r="B188" s="2">
        <v>45884</v>
      </c>
      <c r="C188" t="s">
        <v>143</v>
      </c>
      <c r="D188" t="s">
        <v>55</v>
      </c>
      <c r="E188" t="s">
        <v>82</v>
      </c>
      <c r="F188" t="s">
        <v>83</v>
      </c>
      <c r="G188" s="3">
        <v>5</v>
      </c>
      <c r="H188">
        <v>3500</v>
      </c>
      <c r="I188">
        <v>0.05</v>
      </c>
      <c r="J188">
        <v>2200</v>
      </c>
      <c r="K188">
        <v>17500</v>
      </c>
      <c r="L188">
        <v>875</v>
      </c>
      <c r="M188">
        <v>11000</v>
      </c>
      <c r="N188">
        <v>5625</v>
      </c>
      <c r="O188" s="4">
        <v>0.32142857142857145</v>
      </c>
      <c r="P188">
        <v>2025</v>
      </c>
      <c r="Q188" t="s">
        <v>71</v>
      </c>
    </row>
    <row r="189" spans="1:17">
      <c r="A189" t="s">
        <v>344</v>
      </c>
      <c r="B189" s="2">
        <v>45873</v>
      </c>
      <c r="C189" t="s">
        <v>181</v>
      </c>
      <c r="D189" t="s">
        <v>38</v>
      </c>
      <c r="E189" t="s">
        <v>82</v>
      </c>
      <c r="F189" t="s">
        <v>83</v>
      </c>
      <c r="G189" s="3">
        <v>1</v>
      </c>
      <c r="H189">
        <v>3500</v>
      </c>
      <c r="I189">
        <v>0.1</v>
      </c>
      <c r="J189">
        <v>2200</v>
      </c>
      <c r="K189">
        <v>3500</v>
      </c>
      <c r="L189">
        <v>350</v>
      </c>
      <c r="M189">
        <v>2200</v>
      </c>
      <c r="N189">
        <v>950</v>
      </c>
      <c r="O189" s="4">
        <v>0.27142857142857141</v>
      </c>
      <c r="P189">
        <v>2025</v>
      </c>
      <c r="Q189" t="s">
        <v>71</v>
      </c>
    </row>
    <row r="190" spans="1:17">
      <c r="A190" t="s">
        <v>345</v>
      </c>
      <c r="B190" s="2">
        <v>45750</v>
      </c>
      <c r="C190" t="s">
        <v>317</v>
      </c>
      <c r="D190" t="s">
        <v>38</v>
      </c>
      <c r="E190" t="s">
        <v>59</v>
      </c>
      <c r="F190" t="s">
        <v>90</v>
      </c>
      <c r="G190" s="3">
        <v>3</v>
      </c>
      <c r="H190">
        <v>9000</v>
      </c>
      <c r="I190">
        <v>0.1</v>
      </c>
      <c r="J190">
        <v>6500</v>
      </c>
      <c r="K190">
        <v>27000</v>
      </c>
      <c r="L190">
        <v>2700</v>
      </c>
      <c r="M190">
        <v>19500</v>
      </c>
      <c r="N190">
        <v>4800</v>
      </c>
      <c r="O190" s="4">
        <v>0.17777777777777778</v>
      </c>
      <c r="P190">
        <v>2025</v>
      </c>
      <c r="Q190" t="s">
        <v>79</v>
      </c>
    </row>
    <row r="191" spans="1:17">
      <c r="A191" t="s">
        <v>346</v>
      </c>
      <c r="B191" s="2">
        <v>45980</v>
      </c>
      <c r="C191" t="s">
        <v>347</v>
      </c>
      <c r="D191" t="s">
        <v>38</v>
      </c>
      <c r="E191" t="s">
        <v>39</v>
      </c>
      <c r="F191" t="s">
        <v>64</v>
      </c>
      <c r="G191" s="3">
        <v>2</v>
      </c>
      <c r="H191">
        <v>2000</v>
      </c>
      <c r="I191">
        <v>0.05</v>
      </c>
      <c r="J191">
        <v>1200</v>
      </c>
      <c r="K191">
        <v>4000</v>
      </c>
      <c r="L191">
        <v>200</v>
      </c>
      <c r="M191">
        <v>2400</v>
      </c>
      <c r="N191">
        <v>1400</v>
      </c>
      <c r="O191" s="4">
        <v>0.35</v>
      </c>
      <c r="P191">
        <v>2025</v>
      </c>
      <c r="Q191" t="s">
        <v>98</v>
      </c>
    </row>
    <row r="192" spans="1:17">
      <c r="A192" t="s">
        <v>348</v>
      </c>
      <c r="B192" s="2">
        <v>45868</v>
      </c>
      <c r="C192" t="s">
        <v>49</v>
      </c>
      <c r="D192" t="s">
        <v>44</v>
      </c>
      <c r="E192" t="s">
        <v>82</v>
      </c>
      <c r="F192" t="s">
        <v>83</v>
      </c>
      <c r="G192" s="3">
        <v>3</v>
      </c>
      <c r="H192">
        <v>3500</v>
      </c>
      <c r="I192">
        <v>0.05</v>
      </c>
      <c r="J192">
        <v>2200</v>
      </c>
      <c r="K192">
        <v>10500</v>
      </c>
      <c r="L192">
        <v>525</v>
      </c>
      <c r="M192">
        <v>6600</v>
      </c>
      <c r="N192">
        <v>3375</v>
      </c>
      <c r="O192" s="4">
        <v>0.32142857142857145</v>
      </c>
      <c r="P192">
        <v>2025</v>
      </c>
      <c r="Q192" t="s">
        <v>68</v>
      </c>
    </row>
    <row r="193" spans="1:17">
      <c r="A193" t="s">
        <v>349</v>
      </c>
      <c r="B193" s="2">
        <v>45685</v>
      </c>
      <c r="C193" t="s">
        <v>176</v>
      </c>
      <c r="D193" t="s">
        <v>38</v>
      </c>
      <c r="E193" t="s">
        <v>82</v>
      </c>
      <c r="F193" t="s">
        <v>128</v>
      </c>
      <c r="G193" s="3">
        <v>5</v>
      </c>
      <c r="H193">
        <v>6000</v>
      </c>
      <c r="I193">
        <v>0.15</v>
      </c>
      <c r="J193">
        <v>4000</v>
      </c>
      <c r="K193">
        <v>30000</v>
      </c>
      <c r="L193">
        <v>4500</v>
      </c>
      <c r="M193">
        <v>20000</v>
      </c>
      <c r="N193">
        <v>5500</v>
      </c>
      <c r="O193" s="4">
        <v>0.18333333333333332</v>
      </c>
      <c r="P193">
        <v>2025</v>
      </c>
      <c r="Q193" t="s">
        <v>47</v>
      </c>
    </row>
    <row r="194" spans="1:17">
      <c r="A194" t="s">
        <v>350</v>
      </c>
      <c r="B194" s="2">
        <v>46079</v>
      </c>
      <c r="C194" t="s">
        <v>191</v>
      </c>
      <c r="D194" t="s">
        <v>38</v>
      </c>
      <c r="E194" t="s">
        <v>59</v>
      </c>
      <c r="F194" t="s">
        <v>158</v>
      </c>
      <c r="G194" s="3">
        <v>5</v>
      </c>
      <c r="H194">
        <v>500</v>
      </c>
      <c r="I194">
        <v>0.15</v>
      </c>
      <c r="J194">
        <v>250</v>
      </c>
      <c r="K194">
        <v>2500</v>
      </c>
      <c r="L194">
        <v>375</v>
      </c>
      <c r="M194">
        <v>1250</v>
      </c>
      <c r="N194">
        <v>875</v>
      </c>
      <c r="O194" s="4">
        <v>0.35</v>
      </c>
      <c r="P194">
        <v>2026</v>
      </c>
      <c r="Q194" t="s">
        <v>87</v>
      </c>
    </row>
    <row r="195" spans="1:17">
      <c r="A195" t="s">
        <v>351</v>
      </c>
      <c r="B195" s="2">
        <v>45724</v>
      </c>
      <c r="C195" t="s">
        <v>89</v>
      </c>
      <c r="D195" t="s">
        <v>50</v>
      </c>
      <c r="E195" t="s">
        <v>45</v>
      </c>
      <c r="F195" t="s">
        <v>46</v>
      </c>
      <c r="G195" s="3">
        <v>1</v>
      </c>
      <c r="H195">
        <v>300</v>
      </c>
      <c r="I195">
        <v>0</v>
      </c>
      <c r="J195">
        <v>180</v>
      </c>
      <c r="K195">
        <v>300</v>
      </c>
      <c r="L195">
        <v>0</v>
      </c>
      <c r="M195">
        <v>180</v>
      </c>
      <c r="N195">
        <v>120</v>
      </c>
      <c r="O195" s="4">
        <v>0.4</v>
      </c>
      <c r="P195">
        <v>2025</v>
      </c>
      <c r="Q195" t="s">
        <v>57</v>
      </c>
    </row>
    <row r="196" spans="1:17">
      <c r="A196" t="s">
        <v>352</v>
      </c>
      <c r="B196" s="2">
        <v>46291</v>
      </c>
      <c r="C196" t="s">
        <v>153</v>
      </c>
      <c r="D196" t="s">
        <v>44</v>
      </c>
      <c r="E196" t="s">
        <v>82</v>
      </c>
      <c r="F196" t="s">
        <v>101</v>
      </c>
      <c r="G196" s="3">
        <v>8</v>
      </c>
      <c r="H196">
        <v>4000</v>
      </c>
      <c r="I196">
        <v>0</v>
      </c>
      <c r="J196">
        <v>2700</v>
      </c>
      <c r="K196">
        <v>32000</v>
      </c>
      <c r="L196">
        <v>0</v>
      </c>
      <c r="M196">
        <v>21600</v>
      </c>
      <c r="N196">
        <v>10400</v>
      </c>
      <c r="O196" s="4">
        <v>0.32500000000000001</v>
      </c>
      <c r="P196">
        <v>2026</v>
      </c>
      <c r="Q196" t="s">
        <v>41</v>
      </c>
    </row>
    <row r="197" spans="1:17">
      <c r="A197" t="s">
        <v>353</v>
      </c>
      <c r="B197" s="2">
        <v>45843</v>
      </c>
      <c r="C197" t="s">
        <v>225</v>
      </c>
      <c r="D197" t="s">
        <v>38</v>
      </c>
      <c r="E197" t="s">
        <v>45</v>
      </c>
      <c r="F197" t="s">
        <v>46</v>
      </c>
      <c r="G197" s="3">
        <v>8</v>
      </c>
      <c r="H197">
        <v>300</v>
      </c>
      <c r="I197">
        <v>0.1</v>
      </c>
      <c r="J197">
        <v>180</v>
      </c>
      <c r="K197">
        <v>2400</v>
      </c>
      <c r="L197">
        <v>240</v>
      </c>
      <c r="M197">
        <v>1440</v>
      </c>
      <c r="N197">
        <v>720</v>
      </c>
      <c r="O197" s="4">
        <v>0.3</v>
      </c>
      <c r="P197">
        <v>2025</v>
      </c>
      <c r="Q197" t="s">
        <v>68</v>
      </c>
    </row>
    <row r="198" spans="1:17">
      <c r="A198" t="s">
        <v>354</v>
      </c>
      <c r="B198" s="2">
        <v>46209</v>
      </c>
      <c r="C198" t="s">
        <v>291</v>
      </c>
      <c r="D198" t="s">
        <v>38</v>
      </c>
      <c r="E198" t="s">
        <v>82</v>
      </c>
      <c r="F198" t="s">
        <v>86</v>
      </c>
      <c r="G198" s="3">
        <v>3</v>
      </c>
      <c r="H198">
        <v>4500</v>
      </c>
      <c r="I198">
        <v>0</v>
      </c>
      <c r="J198">
        <v>3000</v>
      </c>
      <c r="K198">
        <v>13500</v>
      </c>
      <c r="L198">
        <v>0</v>
      </c>
      <c r="M198">
        <v>9000</v>
      </c>
      <c r="N198">
        <v>4500</v>
      </c>
      <c r="O198" s="4">
        <v>0.33333333333333331</v>
      </c>
      <c r="P198">
        <v>2026</v>
      </c>
      <c r="Q198" t="s">
        <v>68</v>
      </c>
    </row>
    <row r="199" spans="1:17">
      <c r="A199" t="s">
        <v>355</v>
      </c>
      <c r="B199" s="2">
        <v>45667</v>
      </c>
      <c r="C199" t="s">
        <v>115</v>
      </c>
      <c r="D199" t="s">
        <v>50</v>
      </c>
      <c r="E199" t="s">
        <v>82</v>
      </c>
      <c r="F199" t="s">
        <v>83</v>
      </c>
      <c r="G199" s="3">
        <v>5</v>
      </c>
      <c r="H199">
        <v>3500</v>
      </c>
      <c r="I199">
        <v>0.05</v>
      </c>
      <c r="J199">
        <v>2200</v>
      </c>
      <c r="K199">
        <v>17500</v>
      </c>
      <c r="L199">
        <v>875</v>
      </c>
      <c r="M199">
        <v>11000</v>
      </c>
      <c r="N199">
        <v>5625</v>
      </c>
      <c r="O199" s="4">
        <v>0.32142857142857145</v>
      </c>
      <c r="P199">
        <v>2025</v>
      </c>
      <c r="Q199" t="s">
        <v>47</v>
      </c>
    </row>
    <row r="200" spans="1:17">
      <c r="A200" t="s">
        <v>356</v>
      </c>
      <c r="B200" s="2">
        <v>46130</v>
      </c>
      <c r="C200" t="s">
        <v>263</v>
      </c>
      <c r="D200" t="s">
        <v>38</v>
      </c>
      <c r="E200" t="s">
        <v>59</v>
      </c>
      <c r="F200" t="s">
        <v>77</v>
      </c>
      <c r="G200" s="3">
        <v>5</v>
      </c>
      <c r="H200">
        <v>1200</v>
      </c>
      <c r="I200">
        <v>0</v>
      </c>
      <c r="J200">
        <v>750</v>
      </c>
      <c r="K200">
        <v>6000</v>
      </c>
      <c r="L200">
        <v>0</v>
      </c>
      <c r="M200">
        <v>3750</v>
      </c>
      <c r="N200">
        <v>2250</v>
      </c>
      <c r="O200" s="4">
        <v>0.375</v>
      </c>
      <c r="P200">
        <v>2026</v>
      </c>
      <c r="Q200" t="s">
        <v>79</v>
      </c>
    </row>
    <row r="201" spans="1:17">
      <c r="A201" t="s">
        <v>357</v>
      </c>
      <c r="B201" s="2">
        <v>45774</v>
      </c>
      <c r="C201" t="s">
        <v>317</v>
      </c>
      <c r="D201" t="s">
        <v>38</v>
      </c>
      <c r="E201" t="s">
        <v>39</v>
      </c>
      <c r="F201" t="s">
        <v>40</v>
      </c>
      <c r="G201" s="3">
        <v>7</v>
      </c>
      <c r="H201">
        <v>700</v>
      </c>
      <c r="I201">
        <v>0.15</v>
      </c>
      <c r="J201">
        <v>400</v>
      </c>
      <c r="K201">
        <v>4900</v>
      </c>
      <c r="L201">
        <v>735</v>
      </c>
      <c r="M201">
        <v>2800</v>
      </c>
      <c r="N201">
        <v>1365</v>
      </c>
      <c r="O201" s="4">
        <v>0.27857142857142858</v>
      </c>
      <c r="P201">
        <v>2025</v>
      </c>
      <c r="Q201" t="s">
        <v>79</v>
      </c>
    </row>
    <row r="202" spans="1:17">
      <c r="A202" t="s">
        <v>358</v>
      </c>
      <c r="B202" s="2">
        <v>46193</v>
      </c>
      <c r="C202" t="s">
        <v>359</v>
      </c>
      <c r="D202" t="s">
        <v>44</v>
      </c>
      <c r="E202" t="s">
        <v>82</v>
      </c>
      <c r="F202" t="s">
        <v>128</v>
      </c>
      <c r="G202" s="3">
        <v>2</v>
      </c>
      <c r="H202">
        <v>6000</v>
      </c>
      <c r="I202">
        <v>0</v>
      </c>
      <c r="J202">
        <v>4000</v>
      </c>
      <c r="K202">
        <v>12000</v>
      </c>
      <c r="L202">
        <v>0</v>
      </c>
      <c r="M202">
        <v>8000</v>
      </c>
      <c r="N202">
        <v>4000</v>
      </c>
      <c r="O202" s="4">
        <v>0.33333333333333331</v>
      </c>
      <c r="P202">
        <v>2026</v>
      </c>
      <c r="Q202" t="s">
        <v>52</v>
      </c>
    </row>
    <row r="203" spans="1:17">
      <c r="A203" t="s">
        <v>360</v>
      </c>
      <c r="B203" s="2">
        <v>45719</v>
      </c>
      <c r="C203" t="s">
        <v>257</v>
      </c>
      <c r="D203" t="s">
        <v>44</v>
      </c>
      <c r="E203" t="s">
        <v>39</v>
      </c>
      <c r="F203" t="s">
        <v>56</v>
      </c>
      <c r="G203" s="3">
        <v>6</v>
      </c>
      <c r="H203">
        <v>800</v>
      </c>
      <c r="I203">
        <v>0.1</v>
      </c>
      <c r="J203">
        <v>450</v>
      </c>
      <c r="K203">
        <v>4800</v>
      </c>
      <c r="L203">
        <v>480</v>
      </c>
      <c r="M203">
        <v>2700</v>
      </c>
      <c r="N203">
        <v>1620</v>
      </c>
      <c r="O203" s="4">
        <v>0.33750000000000002</v>
      </c>
      <c r="P203">
        <v>2025</v>
      </c>
      <c r="Q203" t="s">
        <v>57</v>
      </c>
    </row>
    <row r="204" spans="1:17">
      <c r="A204" t="s">
        <v>361</v>
      </c>
      <c r="B204" s="2">
        <v>46011</v>
      </c>
      <c r="C204" t="s">
        <v>151</v>
      </c>
      <c r="D204" t="s">
        <v>38</v>
      </c>
      <c r="E204" t="s">
        <v>39</v>
      </c>
      <c r="F204" t="s">
        <v>40</v>
      </c>
      <c r="G204" s="3">
        <v>5</v>
      </c>
      <c r="H204">
        <v>700</v>
      </c>
      <c r="I204">
        <v>0.1</v>
      </c>
      <c r="J204">
        <v>400</v>
      </c>
      <c r="K204">
        <v>3500</v>
      </c>
      <c r="L204">
        <v>350</v>
      </c>
      <c r="M204">
        <v>2000</v>
      </c>
      <c r="N204">
        <v>1150</v>
      </c>
      <c r="O204" s="4">
        <v>0.32857142857142857</v>
      </c>
      <c r="P204">
        <v>2025</v>
      </c>
      <c r="Q204" t="s">
        <v>61</v>
      </c>
    </row>
    <row r="205" spans="1:17">
      <c r="A205" t="s">
        <v>362</v>
      </c>
      <c r="B205" s="2">
        <v>46109</v>
      </c>
      <c r="C205" t="s">
        <v>201</v>
      </c>
      <c r="D205" t="s">
        <v>55</v>
      </c>
      <c r="E205" t="s">
        <v>45</v>
      </c>
      <c r="F205" t="s">
        <v>46</v>
      </c>
      <c r="G205" s="3">
        <v>4</v>
      </c>
      <c r="H205">
        <v>300</v>
      </c>
      <c r="I205">
        <v>0</v>
      </c>
      <c r="J205">
        <v>180</v>
      </c>
      <c r="K205">
        <v>1200</v>
      </c>
      <c r="L205">
        <v>0</v>
      </c>
      <c r="M205">
        <v>720</v>
      </c>
      <c r="N205">
        <v>480</v>
      </c>
      <c r="O205" s="4">
        <v>0.4</v>
      </c>
      <c r="P205">
        <v>2026</v>
      </c>
      <c r="Q205" t="s">
        <v>57</v>
      </c>
    </row>
    <row r="206" spans="1:17">
      <c r="A206" t="s">
        <v>363</v>
      </c>
      <c r="B206" s="2">
        <v>45746</v>
      </c>
      <c r="C206" t="s">
        <v>153</v>
      </c>
      <c r="D206" t="s">
        <v>55</v>
      </c>
      <c r="E206" t="s">
        <v>45</v>
      </c>
      <c r="F206" t="s">
        <v>67</v>
      </c>
      <c r="G206" s="3">
        <v>6</v>
      </c>
      <c r="H206">
        <v>200</v>
      </c>
      <c r="I206">
        <v>0.05</v>
      </c>
      <c r="J206">
        <v>90</v>
      </c>
      <c r="K206">
        <v>1200</v>
      </c>
      <c r="L206">
        <v>60</v>
      </c>
      <c r="M206">
        <v>540</v>
      </c>
      <c r="N206">
        <v>600</v>
      </c>
      <c r="O206" s="4">
        <v>0.5</v>
      </c>
      <c r="P206">
        <v>2025</v>
      </c>
      <c r="Q206" t="s">
        <v>57</v>
      </c>
    </row>
    <row r="207" spans="1:17">
      <c r="A207" t="s">
        <v>364</v>
      </c>
      <c r="B207" s="2">
        <v>46157</v>
      </c>
      <c r="C207" t="s">
        <v>66</v>
      </c>
      <c r="D207" t="s">
        <v>55</v>
      </c>
      <c r="E207" t="s">
        <v>39</v>
      </c>
      <c r="F207" t="s">
        <v>64</v>
      </c>
      <c r="G207" s="3">
        <v>3</v>
      </c>
      <c r="H207">
        <v>2000</v>
      </c>
      <c r="I207">
        <v>0</v>
      </c>
      <c r="J207">
        <v>1200</v>
      </c>
      <c r="K207">
        <v>6000</v>
      </c>
      <c r="L207">
        <v>0</v>
      </c>
      <c r="M207">
        <v>3600</v>
      </c>
      <c r="N207">
        <v>2400</v>
      </c>
      <c r="O207" s="4">
        <v>0.4</v>
      </c>
      <c r="P207">
        <v>2026</v>
      </c>
      <c r="Q207" t="s">
        <v>145</v>
      </c>
    </row>
    <row r="208" spans="1:17">
      <c r="A208" t="s">
        <v>365</v>
      </c>
      <c r="B208" s="2">
        <v>46255</v>
      </c>
      <c r="C208" t="s">
        <v>216</v>
      </c>
      <c r="D208" t="s">
        <v>44</v>
      </c>
      <c r="E208" t="s">
        <v>59</v>
      </c>
      <c r="F208" t="s">
        <v>90</v>
      </c>
      <c r="G208" s="3">
        <v>8</v>
      </c>
      <c r="H208">
        <v>9000</v>
      </c>
      <c r="I208">
        <v>0.05</v>
      </c>
      <c r="J208">
        <v>6500</v>
      </c>
      <c r="K208">
        <v>72000</v>
      </c>
      <c r="L208">
        <v>3600</v>
      </c>
      <c r="M208">
        <v>52000</v>
      </c>
      <c r="N208">
        <v>16400</v>
      </c>
      <c r="O208" s="4">
        <v>0.22777777777777777</v>
      </c>
      <c r="P208">
        <v>2026</v>
      </c>
      <c r="Q208" t="s">
        <v>71</v>
      </c>
    </row>
    <row r="209" spans="1:17">
      <c r="A209" t="s">
        <v>366</v>
      </c>
      <c r="B209" s="2">
        <v>45855</v>
      </c>
      <c r="C209" t="s">
        <v>336</v>
      </c>
      <c r="D209" t="s">
        <v>50</v>
      </c>
      <c r="E209" t="s">
        <v>45</v>
      </c>
      <c r="F209" t="s">
        <v>67</v>
      </c>
      <c r="G209" s="3">
        <v>8</v>
      </c>
      <c r="H209">
        <v>200</v>
      </c>
      <c r="I209">
        <v>0.1</v>
      </c>
      <c r="J209">
        <v>90</v>
      </c>
      <c r="K209">
        <v>1600</v>
      </c>
      <c r="L209">
        <v>160</v>
      </c>
      <c r="M209">
        <v>720</v>
      </c>
      <c r="N209">
        <v>720</v>
      </c>
      <c r="O209" s="4">
        <v>0.45</v>
      </c>
      <c r="P209">
        <v>2025</v>
      </c>
      <c r="Q209" t="s">
        <v>68</v>
      </c>
    </row>
    <row r="210" spans="1:17">
      <c r="A210" t="s">
        <v>367</v>
      </c>
      <c r="B210" s="2">
        <v>45989</v>
      </c>
      <c r="C210" t="s">
        <v>277</v>
      </c>
      <c r="D210" t="s">
        <v>50</v>
      </c>
      <c r="E210" t="s">
        <v>45</v>
      </c>
      <c r="F210" t="s">
        <v>95</v>
      </c>
      <c r="G210" s="3">
        <v>2</v>
      </c>
      <c r="H210">
        <v>150</v>
      </c>
      <c r="I210">
        <v>0</v>
      </c>
      <c r="J210">
        <v>60</v>
      </c>
      <c r="K210">
        <v>300</v>
      </c>
      <c r="L210">
        <v>0</v>
      </c>
      <c r="M210">
        <v>120</v>
      </c>
      <c r="N210">
        <v>180</v>
      </c>
      <c r="O210" s="4">
        <v>0.6</v>
      </c>
      <c r="P210">
        <v>2025</v>
      </c>
      <c r="Q210" t="s">
        <v>98</v>
      </c>
    </row>
    <row r="211" spans="1:17">
      <c r="A211" t="s">
        <v>368</v>
      </c>
      <c r="B211" s="2">
        <v>45878</v>
      </c>
      <c r="C211" t="s">
        <v>369</v>
      </c>
      <c r="D211" t="s">
        <v>44</v>
      </c>
      <c r="E211" t="s">
        <v>39</v>
      </c>
      <c r="F211" t="s">
        <v>40</v>
      </c>
      <c r="G211" s="3">
        <v>7</v>
      </c>
      <c r="H211">
        <v>700</v>
      </c>
      <c r="I211">
        <v>0.1</v>
      </c>
      <c r="J211">
        <v>400</v>
      </c>
      <c r="K211">
        <v>4900</v>
      </c>
      <c r="L211">
        <v>490</v>
      </c>
      <c r="M211">
        <v>2800</v>
      </c>
      <c r="N211">
        <v>1610</v>
      </c>
      <c r="O211" s="4">
        <v>0.32857142857142857</v>
      </c>
      <c r="P211">
        <v>2025</v>
      </c>
      <c r="Q211" t="s">
        <v>71</v>
      </c>
    </row>
    <row r="212" spans="1:17">
      <c r="A212" t="s">
        <v>370</v>
      </c>
      <c r="B212" s="2">
        <v>46058</v>
      </c>
      <c r="C212" t="s">
        <v>305</v>
      </c>
      <c r="D212" t="s">
        <v>55</v>
      </c>
      <c r="E212" t="s">
        <v>82</v>
      </c>
      <c r="F212" t="s">
        <v>83</v>
      </c>
      <c r="G212" s="3">
        <v>7</v>
      </c>
      <c r="H212">
        <v>3500</v>
      </c>
      <c r="I212">
        <v>0.1</v>
      </c>
      <c r="J212">
        <v>2200</v>
      </c>
      <c r="K212">
        <v>24500</v>
      </c>
      <c r="L212">
        <v>2450</v>
      </c>
      <c r="M212">
        <v>15400</v>
      </c>
      <c r="N212">
        <v>6650</v>
      </c>
      <c r="O212" s="4">
        <v>0.27142857142857141</v>
      </c>
      <c r="P212">
        <v>2026</v>
      </c>
      <c r="Q212" t="s">
        <v>87</v>
      </c>
    </row>
    <row r="213" spans="1:17">
      <c r="A213" t="s">
        <v>371</v>
      </c>
      <c r="B213" s="2">
        <v>46273</v>
      </c>
      <c r="C213" t="s">
        <v>359</v>
      </c>
      <c r="D213" t="s">
        <v>55</v>
      </c>
      <c r="E213" t="s">
        <v>45</v>
      </c>
      <c r="F213" t="s">
        <v>168</v>
      </c>
      <c r="G213" s="3">
        <v>6</v>
      </c>
      <c r="H213">
        <v>100</v>
      </c>
      <c r="I213">
        <v>0.05</v>
      </c>
      <c r="J213">
        <v>40</v>
      </c>
      <c r="K213">
        <v>600</v>
      </c>
      <c r="L213">
        <v>30</v>
      </c>
      <c r="M213">
        <v>240</v>
      </c>
      <c r="N213">
        <v>330</v>
      </c>
      <c r="O213" s="4">
        <v>0.55000000000000004</v>
      </c>
      <c r="P213">
        <v>2026</v>
      </c>
      <c r="Q213" t="s">
        <v>41</v>
      </c>
    </row>
    <row r="214" spans="1:17">
      <c r="A214" t="s">
        <v>372</v>
      </c>
      <c r="B214" s="2">
        <v>45923</v>
      </c>
      <c r="C214" t="s">
        <v>359</v>
      </c>
      <c r="D214" t="s">
        <v>55</v>
      </c>
      <c r="E214" t="s">
        <v>82</v>
      </c>
      <c r="F214" t="s">
        <v>86</v>
      </c>
      <c r="G214" s="3">
        <v>6</v>
      </c>
      <c r="H214">
        <v>4500</v>
      </c>
      <c r="I214">
        <v>0.15</v>
      </c>
      <c r="J214">
        <v>3000</v>
      </c>
      <c r="K214">
        <v>27000</v>
      </c>
      <c r="L214">
        <v>4050</v>
      </c>
      <c r="M214">
        <v>18000</v>
      </c>
      <c r="N214">
        <v>4950</v>
      </c>
      <c r="O214" s="4">
        <v>0.18333333333333332</v>
      </c>
      <c r="P214">
        <v>2025</v>
      </c>
      <c r="Q214" t="s">
        <v>41</v>
      </c>
    </row>
    <row r="215" spans="1:17">
      <c r="A215" t="s">
        <v>373</v>
      </c>
      <c r="B215" s="2">
        <v>46203</v>
      </c>
      <c r="C215" t="s">
        <v>305</v>
      </c>
      <c r="D215" t="s">
        <v>55</v>
      </c>
      <c r="E215" t="s">
        <v>39</v>
      </c>
      <c r="F215" t="s">
        <v>51</v>
      </c>
      <c r="G215" s="3">
        <v>6</v>
      </c>
      <c r="H215">
        <v>250</v>
      </c>
      <c r="I215">
        <v>0</v>
      </c>
      <c r="J215">
        <v>100</v>
      </c>
      <c r="K215">
        <v>1500</v>
      </c>
      <c r="L215">
        <v>0</v>
      </c>
      <c r="M215">
        <v>600</v>
      </c>
      <c r="N215">
        <v>900</v>
      </c>
      <c r="O215" s="4">
        <v>0.6</v>
      </c>
      <c r="P215">
        <v>2026</v>
      </c>
      <c r="Q215" t="s">
        <v>52</v>
      </c>
    </row>
    <row r="216" spans="1:17">
      <c r="A216" t="s">
        <v>374</v>
      </c>
      <c r="B216" s="2">
        <v>46118</v>
      </c>
      <c r="C216" t="s">
        <v>277</v>
      </c>
      <c r="D216" t="s">
        <v>38</v>
      </c>
      <c r="E216" t="s">
        <v>45</v>
      </c>
      <c r="F216" t="s">
        <v>168</v>
      </c>
      <c r="G216" s="3">
        <v>4</v>
      </c>
      <c r="H216">
        <v>100</v>
      </c>
      <c r="I216">
        <v>0.1</v>
      </c>
      <c r="J216">
        <v>40</v>
      </c>
      <c r="K216">
        <v>400</v>
      </c>
      <c r="L216">
        <v>40</v>
      </c>
      <c r="M216">
        <v>160</v>
      </c>
      <c r="N216">
        <v>200</v>
      </c>
      <c r="O216" s="4">
        <v>0.5</v>
      </c>
      <c r="P216">
        <v>2026</v>
      </c>
      <c r="Q216" t="s">
        <v>79</v>
      </c>
    </row>
    <row r="217" spans="1:17">
      <c r="A217" t="s">
        <v>375</v>
      </c>
      <c r="B217" s="2">
        <v>46181</v>
      </c>
      <c r="C217" t="s">
        <v>376</v>
      </c>
      <c r="D217" t="s">
        <v>50</v>
      </c>
      <c r="E217" t="s">
        <v>59</v>
      </c>
      <c r="F217" t="s">
        <v>158</v>
      </c>
      <c r="G217" s="3">
        <v>8</v>
      </c>
      <c r="H217">
        <v>500</v>
      </c>
      <c r="I217">
        <v>0</v>
      </c>
      <c r="J217">
        <v>250</v>
      </c>
      <c r="K217">
        <v>4000</v>
      </c>
      <c r="L217">
        <v>0</v>
      </c>
      <c r="M217">
        <v>2000</v>
      </c>
      <c r="N217">
        <v>2000</v>
      </c>
      <c r="O217" s="4">
        <v>0.5</v>
      </c>
      <c r="P217">
        <v>2026</v>
      </c>
      <c r="Q217" t="s">
        <v>52</v>
      </c>
    </row>
    <row r="218" spans="1:17">
      <c r="A218" t="s">
        <v>377</v>
      </c>
      <c r="B218" s="2">
        <v>46269</v>
      </c>
      <c r="C218" t="s">
        <v>291</v>
      </c>
      <c r="D218" t="s">
        <v>38</v>
      </c>
      <c r="E218" t="s">
        <v>39</v>
      </c>
      <c r="F218" t="s">
        <v>51</v>
      </c>
      <c r="G218" s="3">
        <v>3</v>
      </c>
      <c r="H218">
        <v>250</v>
      </c>
      <c r="I218">
        <v>0.15</v>
      </c>
      <c r="J218">
        <v>100</v>
      </c>
      <c r="K218">
        <v>750</v>
      </c>
      <c r="L218">
        <v>112.5</v>
      </c>
      <c r="M218">
        <v>300</v>
      </c>
      <c r="N218">
        <v>337.5</v>
      </c>
      <c r="O218" s="4">
        <v>0.45</v>
      </c>
      <c r="P218">
        <v>2026</v>
      </c>
      <c r="Q218" t="s">
        <v>41</v>
      </c>
    </row>
    <row r="219" spans="1:17">
      <c r="A219" t="s">
        <v>378</v>
      </c>
      <c r="B219" s="2">
        <v>45875</v>
      </c>
      <c r="C219" t="s">
        <v>120</v>
      </c>
      <c r="D219" t="s">
        <v>50</v>
      </c>
      <c r="E219" t="s">
        <v>82</v>
      </c>
      <c r="F219" t="s">
        <v>101</v>
      </c>
      <c r="G219" s="3">
        <v>8</v>
      </c>
      <c r="H219">
        <v>4000</v>
      </c>
      <c r="I219">
        <v>0.1</v>
      </c>
      <c r="J219">
        <v>2700</v>
      </c>
      <c r="K219">
        <v>32000</v>
      </c>
      <c r="L219">
        <v>3200</v>
      </c>
      <c r="M219">
        <v>21600</v>
      </c>
      <c r="N219">
        <v>7200</v>
      </c>
      <c r="O219" s="4">
        <v>0.22500000000000001</v>
      </c>
      <c r="P219">
        <v>2025</v>
      </c>
      <c r="Q219" t="s">
        <v>71</v>
      </c>
    </row>
    <row r="220" spans="1:17">
      <c r="A220" t="s">
        <v>379</v>
      </c>
      <c r="B220" s="2">
        <v>46105</v>
      </c>
      <c r="C220" t="s">
        <v>225</v>
      </c>
      <c r="D220" t="s">
        <v>55</v>
      </c>
      <c r="E220" t="s">
        <v>82</v>
      </c>
      <c r="F220" t="s">
        <v>86</v>
      </c>
      <c r="G220" s="3">
        <v>3</v>
      </c>
      <c r="H220">
        <v>4500</v>
      </c>
      <c r="I220">
        <v>0.1</v>
      </c>
      <c r="J220">
        <v>3000</v>
      </c>
      <c r="K220">
        <v>13500</v>
      </c>
      <c r="L220">
        <v>1350</v>
      </c>
      <c r="M220">
        <v>9000</v>
      </c>
      <c r="N220">
        <v>3150</v>
      </c>
      <c r="O220" s="4">
        <v>0.23333333333333334</v>
      </c>
      <c r="P220">
        <v>2026</v>
      </c>
      <c r="Q220" t="s">
        <v>57</v>
      </c>
    </row>
    <row r="221" spans="1:17">
      <c r="A221" t="s">
        <v>380</v>
      </c>
      <c r="B221" s="2">
        <v>45932</v>
      </c>
      <c r="C221" t="s">
        <v>381</v>
      </c>
      <c r="D221" t="s">
        <v>38</v>
      </c>
      <c r="E221" t="s">
        <v>59</v>
      </c>
      <c r="F221" t="s">
        <v>77</v>
      </c>
      <c r="G221" s="3">
        <v>4</v>
      </c>
      <c r="H221">
        <v>1200</v>
      </c>
      <c r="I221">
        <v>0.05</v>
      </c>
      <c r="J221">
        <v>750</v>
      </c>
      <c r="K221">
        <v>4800</v>
      </c>
      <c r="L221">
        <v>240</v>
      </c>
      <c r="M221">
        <v>3000</v>
      </c>
      <c r="N221">
        <v>1560</v>
      </c>
      <c r="O221" s="4">
        <v>0.32500000000000001</v>
      </c>
      <c r="P221">
        <v>2025</v>
      </c>
      <c r="Q221" t="s">
        <v>74</v>
      </c>
    </row>
    <row r="222" spans="1:17">
      <c r="A222" t="s">
        <v>382</v>
      </c>
      <c r="B222" s="2">
        <v>46141</v>
      </c>
      <c r="C222" t="s">
        <v>176</v>
      </c>
      <c r="D222" t="s">
        <v>44</v>
      </c>
      <c r="E222" t="s">
        <v>59</v>
      </c>
      <c r="F222" t="s">
        <v>90</v>
      </c>
      <c r="G222" s="3">
        <v>3</v>
      </c>
      <c r="H222">
        <v>9000</v>
      </c>
      <c r="I222">
        <v>0.1</v>
      </c>
      <c r="J222">
        <v>6500</v>
      </c>
      <c r="K222">
        <v>27000</v>
      </c>
      <c r="L222">
        <v>2700</v>
      </c>
      <c r="M222">
        <v>19500</v>
      </c>
      <c r="N222">
        <v>4800</v>
      </c>
      <c r="O222" s="4">
        <v>0.17777777777777778</v>
      </c>
      <c r="P222">
        <v>2026</v>
      </c>
      <c r="Q222" t="s">
        <v>79</v>
      </c>
    </row>
    <row r="223" spans="1:17">
      <c r="A223" t="s">
        <v>383</v>
      </c>
      <c r="B223" s="2">
        <v>46221</v>
      </c>
      <c r="C223" t="s">
        <v>174</v>
      </c>
      <c r="D223" t="s">
        <v>38</v>
      </c>
      <c r="E223" t="s">
        <v>59</v>
      </c>
      <c r="F223" t="s">
        <v>60</v>
      </c>
      <c r="G223" s="3">
        <v>4</v>
      </c>
      <c r="H223">
        <v>1500</v>
      </c>
      <c r="I223">
        <v>0.05</v>
      </c>
      <c r="J223">
        <v>900</v>
      </c>
      <c r="K223">
        <v>6000</v>
      </c>
      <c r="L223">
        <v>300</v>
      </c>
      <c r="M223">
        <v>3600</v>
      </c>
      <c r="N223">
        <v>2100</v>
      </c>
      <c r="O223" s="4">
        <v>0.35</v>
      </c>
      <c r="P223">
        <v>2026</v>
      </c>
      <c r="Q223" t="s">
        <v>68</v>
      </c>
    </row>
    <row r="224" spans="1:17">
      <c r="A224" t="s">
        <v>384</v>
      </c>
      <c r="B224" s="2">
        <v>45790</v>
      </c>
      <c r="C224" t="s">
        <v>54</v>
      </c>
      <c r="D224" t="s">
        <v>38</v>
      </c>
      <c r="E224" t="s">
        <v>59</v>
      </c>
      <c r="F224" t="s">
        <v>158</v>
      </c>
      <c r="G224" s="3">
        <v>1</v>
      </c>
      <c r="H224">
        <v>500</v>
      </c>
      <c r="I224">
        <v>0</v>
      </c>
      <c r="J224">
        <v>250</v>
      </c>
      <c r="K224">
        <v>500</v>
      </c>
      <c r="L224">
        <v>0</v>
      </c>
      <c r="M224">
        <v>250</v>
      </c>
      <c r="N224">
        <v>250</v>
      </c>
      <c r="O224" s="4">
        <v>0.5</v>
      </c>
      <c r="P224">
        <v>2025</v>
      </c>
      <c r="Q224" t="s">
        <v>145</v>
      </c>
    </row>
    <row r="225" spans="1:17">
      <c r="A225" t="s">
        <v>385</v>
      </c>
      <c r="B225" s="2">
        <v>46003</v>
      </c>
      <c r="C225" t="s">
        <v>94</v>
      </c>
      <c r="D225" t="s">
        <v>50</v>
      </c>
      <c r="E225" t="s">
        <v>39</v>
      </c>
      <c r="F225" t="s">
        <v>40</v>
      </c>
      <c r="G225" s="3">
        <v>7</v>
      </c>
      <c r="H225">
        <v>700</v>
      </c>
      <c r="I225">
        <v>0.15</v>
      </c>
      <c r="J225">
        <v>400</v>
      </c>
      <c r="K225">
        <v>4900</v>
      </c>
      <c r="L225">
        <v>735</v>
      </c>
      <c r="M225">
        <v>2800</v>
      </c>
      <c r="N225">
        <v>1365</v>
      </c>
      <c r="O225" s="4">
        <v>0.27857142857142858</v>
      </c>
      <c r="P225">
        <v>2025</v>
      </c>
      <c r="Q225" t="s">
        <v>61</v>
      </c>
    </row>
    <row r="226" spans="1:17">
      <c r="A226" t="s">
        <v>386</v>
      </c>
      <c r="B226" s="2">
        <v>45795</v>
      </c>
      <c r="C226" t="s">
        <v>387</v>
      </c>
      <c r="D226" t="s">
        <v>44</v>
      </c>
      <c r="E226" t="s">
        <v>45</v>
      </c>
      <c r="F226" t="s">
        <v>95</v>
      </c>
      <c r="G226" s="3">
        <v>4</v>
      </c>
      <c r="H226">
        <v>150</v>
      </c>
      <c r="I226">
        <v>0.1</v>
      </c>
      <c r="J226">
        <v>60</v>
      </c>
      <c r="K226">
        <v>600</v>
      </c>
      <c r="L226">
        <v>60</v>
      </c>
      <c r="M226">
        <v>240</v>
      </c>
      <c r="N226">
        <v>300</v>
      </c>
      <c r="O226" s="4">
        <v>0.5</v>
      </c>
      <c r="P226">
        <v>2025</v>
      </c>
      <c r="Q226" t="s">
        <v>145</v>
      </c>
    </row>
    <row r="227" spans="1:17">
      <c r="A227" t="s">
        <v>388</v>
      </c>
      <c r="B227" s="2">
        <v>45941</v>
      </c>
      <c r="C227" t="s">
        <v>104</v>
      </c>
      <c r="D227" t="s">
        <v>38</v>
      </c>
      <c r="E227" t="s">
        <v>82</v>
      </c>
      <c r="F227" t="s">
        <v>101</v>
      </c>
      <c r="G227" s="3">
        <v>2</v>
      </c>
      <c r="H227">
        <v>4000</v>
      </c>
      <c r="I227">
        <v>0.15</v>
      </c>
      <c r="J227">
        <v>2700</v>
      </c>
      <c r="K227">
        <v>8000</v>
      </c>
      <c r="L227">
        <v>1200</v>
      </c>
      <c r="M227">
        <v>5400</v>
      </c>
      <c r="N227">
        <v>1400</v>
      </c>
      <c r="O227" s="4">
        <v>0.17499999999999999</v>
      </c>
      <c r="P227">
        <v>2025</v>
      </c>
      <c r="Q227" t="s">
        <v>74</v>
      </c>
    </row>
    <row r="228" spans="1:17">
      <c r="A228" t="s">
        <v>389</v>
      </c>
      <c r="B228" s="2">
        <v>45812</v>
      </c>
      <c r="C228" t="s">
        <v>133</v>
      </c>
      <c r="D228" t="s">
        <v>44</v>
      </c>
      <c r="E228" t="s">
        <v>45</v>
      </c>
      <c r="F228" t="s">
        <v>67</v>
      </c>
      <c r="G228" s="3">
        <v>1</v>
      </c>
      <c r="H228">
        <v>200</v>
      </c>
      <c r="I228">
        <v>0.05</v>
      </c>
      <c r="J228">
        <v>90</v>
      </c>
      <c r="K228">
        <v>200</v>
      </c>
      <c r="L228">
        <v>10</v>
      </c>
      <c r="M228">
        <v>90</v>
      </c>
      <c r="N228">
        <v>100</v>
      </c>
      <c r="O228" s="4">
        <v>0.5</v>
      </c>
      <c r="P228">
        <v>2025</v>
      </c>
      <c r="Q228" t="s">
        <v>52</v>
      </c>
    </row>
    <row r="229" spans="1:17">
      <c r="A229" t="s">
        <v>390</v>
      </c>
      <c r="B229" s="2">
        <v>46122</v>
      </c>
      <c r="C229" t="s">
        <v>268</v>
      </c>
      <c r="D229" t="s">
        <v>44</v>
      </c>
      <c r="E229" t="s">
        <v>59</v>
      </c>
      <c r="F229" t="s">
        <v>90</v>
      </c>
      <c r="G229" s="3">
        <v>1</v>
      </c>
      <c r="H229">
        <v>9000</v>
      </c>
      <c r="I229">
        <v>0</v>
      </c>
      <c r="J229">
        <v>6500</v>
      </c>
      <c r="K229">
        <v>9000</v>
      </c>
      <c r="L229">
        <v>0</v>
      </c>
      <c r="M229">
        <v>6500</v>
      </c>
      <c r="N229">
        <v>2500</v>
      </c>
      <c r="O229" s="4">
        <v>0.27777777777777779</v>
      </c>
      <c r="P229">
        <v>2026</v>
      </c>
      <c r="Q229" t="s">
        <v>79</v>
      </c>
    </row>
    <row r="230" spans="1:17">
      <c r="A230" t="s">
        <v>391</v>
      </c>
      <c r="B230" s="2">
        <v>45844</v>
      </c>
      <c r="C230" t="s">
        <v>170</v>
      </c>
      <c r="D230" t="s">
        <v>50</v>
      </c>
      <c r="E230" t="s">
        <v>39</v>
      </c>
      <c r="F230" t="s">
        <v>56</v>
      </c>
      <c r="G230" s="3">
        <v>2</v>
      </c>
      <c r="H230">
        <v>800</v>
      </c>
      <c r="I230">
        <v>0</v>
      </c>
      <c r="J230">
        <v>450</v>
      </c>
      <c r="K230">
        <v>1600</v>
      </c>
      <c r="L230">
        <v>0</v>
      </c>
      <c r="M230">
        <v>900</v>
      </c>
      <c r="N230">
        <v>700</v>
      </c>
      <c r="O230" s="4">
        <v>0.4375</v>
      </c>
      <c r="P230">
        <v>2025</v>
      </c>
      <c r="Q230" t="s">
        <v>68</v>
      </c>
    </row>
    <row r="231" spans="1:17">
      <c r="A231" t="s">
        <v>392</v>
      </c>
      <c r="B231" s="2">
        <v>45767</v>
      </c>
      <c r="C231" t="s">
        <v>170</v>
      </c>
      <c r="D231" t="s">
        <v>44</v>
      </c>
      <c r="E231" t="s">
        <v>59</v>
      </c>
      <c r="F231" t="s">
        <v>90</v>
      </c>
      <c r="G231" s="3">
        <v>1</v>
      </c>
      <c r="H231">
        <v>9000</v>
      </c>
      <c r="I231">
        <v>0.05</v>
      </c>
      <c r="J231">
        <v>6500</v>
      </c>
      <c r="K231">
        <v>9000</v>
      </c>
      <c r="L231">
        <v>450</v>
      </c>
      <c r="M231">
        <v>6500</v>
      </c>
      <c r="N231">
        <v>2050</v>
      </c>
      <c r="O231" s="4">
        <v>0.22777777777777777</v>
      </c>
      <c r="P231">
        <v>2025</v>
      </c>
      <c r="Q231" t="s">
        <v>79</v>
      </c>
    </row>
    <row r="232" spans="1:17">
      <c r="A232" t="s">
        <v>393</v>
      </c>
      <c r="B232" s="2">
        <v>46052</v>
      </c>
      <c r="C232" t="s">
        <v>70</v>
      </c>
      <c r="D232" t="s">
        <v>55</v>
      </c>
      <c r="E232" t="s">
        <v>59</v>
      </c>
      <c r="F232" t="s">
        <v>60</v>
      </c>
      <c r="G232" s="3">
        <v>5</v>
      </c>
      <c r="H232">
        <v>1500</v>
      </c>
      <c r="I232">
        <v>0.15</v>
      </c>
      <c r="J232">
        <v>900</v>
      </c>
      <c r="K232">
        <v>7500</v>
      </c>
      <c r="L232">
        <v>1125</v>
      </c>
      <c r="M232">
        <v>4500</v>
      </c>
      <c r="N232">
        <v>1875</v>
      </c>
      <c r="O232" s="4">
        <v>0.25</v>
      </c>
      <c r="P232">
        <v>2026</v>
      </c>
      <c r="Q232" t="s">
        <v>47</v>
      </c>
    </row>
    <row r="233" spans="1:17">
      <c r="A233" t="s">
        <v>394</v>
      </c>
      <c r="B233" s="2">
        <v>46043</v>
      </c>
      <c r="C233" t="s">
        <v>100</v>
      </c>
      <c r="D233" t="s">
        <v>50</v>
      </c>
      <c r="E233" t="s">
        <v>59</v>
      </c>
      <c r="F233" t="s">
        <v>158</v>
      </c>
      <c r="G233" s="3">
        <v>1</v>
      </c>
      <c r="H233">
        <v>500</v>
      </c>
      <c r="I233">
        <v>0.1</v>
      </c>
      <c r="J233">
        <v>250</v>
      </c>
      <c r="K233">
        <v>500</v>
      </c>
      <c r="L233">
        <v>50</v>
      </c>
      <c r="M233">
        <v>250</v>
      </c>
      <c r="N233">
        <v>200</v>
      </c>
      <c r="O233" s="4">
        <v>0.4</v>
      </c>
      <c r="P233">
        <v>2026</v>
      </c>
      <c r="Q233" t="s">
        <v>47</v>
      </c>
    </row>
    <row r="234" spans="1:17">
      <c r="A234" t="s">
        <v>395</v>
      </c>
      <c r="B234" s="2">
        <v>46054</v>
      </c>
      <c r="C234" t="s">
        <v>198</v>
      </c>
      <c r="D234" t="s">
        <v>38</v>
      </c>
      <c r="E234" t="s">
        <v>45</v>
      </c>
      <c r="F234" t="s">
        <v>67</v>
      </c>
      <c r="G234" s="3">
        <v>7</v>
      </c>
      <c r="H234">
        <v>200</v>
      </c>
      <c r="I234">
        <v>0.05</v>
      </c>
      <c r="J234">
        <v>90</v>
      </c>
      <c r="K234">
        <v>1400</v>
      </c>
      <c r="L234">
        <v>70</v>
      </c>
      <c r="M234">
        <v>630</v>
      </c>
      <c r="N234">
        <v>700</v>
      </c>
      <c r="O234" s="4">
        <v>0.5</v>
      </c>
      <c r="P234">
        <v>2026</v>
      </c>
      <c r="Q234" t="s">
        <v>87</v>
      </c>
    </row>
    <row r="235" spans="1:17">
      <c r="A235" t="s">
        <v>396</v>
      </c>
      <c r="B235" s="2">
        <v>45887</v>
      </c>
      <c r="C235" t="s">
        <v>191</v>
      </c>
      <c r="D235" t="s">
        <v>50</v>
      </c>
      <c r="E235" t="s">
        <v>59</v>
      </c>
      <c r="F235" t="s">
        <v>60</v>
      </c>
      <c r="G235" s="3">
        <v>5</v>
      </c>
      <c r="H235">
        <v>1500</v>
      </c>
      <c r="I235">
        <v>0.1</v>
      </c>
      <c r="J235">
        <v>900</v>
      </c>
      <c r="K235">
        <v>7500</v>
      </c>
      <c r="L235">
        <v>750</v>
      </c>
      <c r="M235">
        <v>4500</v>
      </c>
      <c r="N235">
        <v>2250</v>
      </c>
      <c r="O235" s="4">
        <v>0.3</v>
      </c>
      <c r="P235">
        <v>2025</v>
      </c>
      <c r="Q235" t="s">
        <v>71</v>
      </c>
    </row>
    <row r="236" spans="1:17">
      <c r="A236" t="s">
        <v>397</v>
      </c>
      <c r="B236" s="2">
        <v>45705</v>
      </c>
      <c r="C236" t="s">
        <v>213</v>
      </c>
      <c r="D236" t="s">
        <v>50</v>
      </c>
      <c r="E236" t="s">
        <v>39</v>
      </c>
      <c r="F236" t="s">
        <v>51</v>
      </c>
      <c r="G236" s="3">
        <v>2</v>
      </c>
      <c r="H236">
        <v>250</v>
      </c>
      <c r="I236">
        <v>0.15</v>
      </c>
      <c r="J236">
        <v>100</v>
      </c>
      <c r="K236">
        <v>500</v>
      </c>
      <c r="L236">
        <v>75</v>
      </c>
      <c r="M236">
        <v>200</v>
      </c>
      <c r="N236">
        <v>225</v>
      </c>
      <c r="O236" s="4">
        <v>0.45</v>
      </c>
      <c r="P236">
        <v>2025</v>
      </c>
      <c r="Q236" t="s">
        <v>87</v>
      </c>
    </row>
    <row r="237" spans="1:17">
      <c r="A237" t="s">
        <v>398</v>
      </c>
      <c r="B237" s="2">
        <v>45703</v>
      </c>
      <c r="C237" t="s">
        <v>216</v>
      </c>
      <c r="D237" t="s">
        <v>38</v>
      </c>
      <c r="E237" t="s">
        <v>82</v>
      </c>
      <c r="F237" t="s">
        <v>83</v>
      </c>
      <c r="G237" s="3">
        <v>5</v>
      </c>
      <c r="H237">
        <v>3500</v>
      </c>
      <c r="I237">
        <v>0</v>
      </c>
      <c r="J237">
        <v>2200</v>
      </c>
      <c r="K237">
        <v>17500</v>
      </c>
      <c r="L237">
        <v>0</v>
      </c>
      <c r="M237">
        <v>11000</v>
      </c>
      <c r="N237">
        <v>6500</v>
      </c>
      <c r="O237" s="4">
        <v>0.37142857142857144</v>
      </c>
      <c r="P237">
        <v>2025</v>
      </c>
      <c r="Q237" t="s">
        <v>87</v>
      </c>
    </row>
    <row r="238" spans="1:17">
      <c r="A238" t="s">
        <v>399</v>
      </c>
      <c r="B238" s="2">
        <v>45756</v>
      </c>
      <c r="C238" t="s">
        <v>232</v>
      </c>
      <c r="D238" t="s">
        <v>44</v>
      </c>
      <c r="E238" t="s">
        <v>59</v>
      </c>
      <c r="F238" t="s">
        <v>90</v>
      </c>
      <c r="G238" s="3">
        <v>8</v>
      </c>
      <c r="H238">
        <v>9000</v>
      </c>
      <c r="I238">
        <v>0.05</v>
      </c>
      <c r="J238">
        <v>6500</v>
      </c>
      <c r="K238">
        <v>72000</v>
      </c>
      <c r="L238">
        <v>3600</v>
      </c>
      <c r="M238">
        <v>52000</v>
      </c>
      <c r="N238">
        <v>16400</v>
      </c>
      <c r="O238" s="4">
        <v>0.22777777777777777</v>
      </c>
      <c r="P238">
        <v>2025</v>
      </c>
      <c r="Q238" t="s">
        <v>79</v>
      </c>
    </row>
    <row r="239" spans="1:17">
      <c r="A239" t="s">
        <v>400</v>
      </c>
      <c r="B239" s="2">
        <v>46248</v>
      </c>
      <c r="C239" t="s">
        <v>220</v>
      </c>
      <c r="D239" t="s">
        <v>50</v>
      </c>
      <c r="E239" t="s">
        <v>59</v>
      </c>
      <c r="F239" t="s">
        <v>60</v>
      </c>
      <c r="G239" s="3">
        <v>8</v>
      </c>
      <c r="H239">
        <v>1500</v>
      </c>
      <c r="I239">
        <v>0.15</v>
      </c>
      <c r="J239">
        <v>900</v>
      </c>
      <c r="K239">
        <v>12000</v>
      </c>
      <c r="L239">
        <v>1800</v>
      </c>
      <c r="M239">
        <v>7200</v>
      </c>
      <c r="N239">
        <v>3000</v>
      </c>
      <c r="O239" s="4">
        <v>0.25</v>
      </c>
      <c r="P239">
        <v>2026</v>
      </c>
      <c r="Q239" t="s">
        <v>71</v>
      </c>
    </row>
    <row r="240" spans="1:17">
      <c r="A240" t="s">
        <v>401</v>
      </c>
      <c r="B240" s="2">
        <v>46104</v>
      </c>
      <c r="C240" t="s">
        <v>347</v>
      </c>
      <c r="D240" t="s">
        <v>38</v>
      </c>
      <c r="E240" t="s">
        <v>82</v>
      </c>
      <c r="F240" t="s">
        <v>83</v>
      </c>
      <c r="G240" s="3">
        <v>3</v>
      </c>
      <c r="H240">
        <v>3500</v>
      </c>
      <c r="I240">
        <v>0.1</v>
      </c>
      <c r="J240">
        <v>2200</v>
      </c>
      <c r="K240">
        <v>10500</v>
      </c>
      <c r="L240">
        <v>1050</v>
      </c>
      <c r="M240">
        <v>6600</v>
      </c>
      <c r="N240">
        <v>2850</v>
      </c>
      <c r="O240" s="4">
        <v>0.27142857142857141</v>
      </c>
      <c r="P240">
        <v>2026</v>
      </c>
      <c r="Q240" t="s">
        <v>57</v>
      </c>
    </row>
    <row r="241" spans="1:17">
      <c r="A241" t="s">
        <v>402</v>
      </c>
      <c r="B241" s="2">
        <v>45908</v>
      </c>
      <c r="C241" t="s">
        <v>139</v>
      </c>
      <c r="D241" t="s">
        <v>50</v>
      </c>
      <c r="E241" t="s">
        <v>59</v>
      </c>
      <c r="F241" t="s">
        <v>90</v>
      </c>
      <c r="G241" s="3">
        <v>2</v>
      </c>
      <c r="H241">
        <v>9000</v>
      </c>
      <c r="I241">
        <v>0.1</v>
      </c>
      <c r="J241">
        <v>6500</v>
      </c>
      <c r="K241">
        <v>18000</v>
      </c>
      <c r="L241">
        <v>1800</v>
      </c>
      <c r="M241">
        <v>13000</v>
      </c>
      <c r="N241">
        <v>3200</v>
      </c>
      <c r="O241" s="4">
        <v>0.17777777777777778</v>
      </c>
      <c r="P241">
        <v>2025</v>
      </c>
      <c r="Q241" t="s">
        <v>41</v>
      </c>
    </row>
    <row r="242" spans="1:17">
      <c r="A242" t="s">
        <v>403</v>
      </c>
      <c r="B242" s="2">
        <v>45879</v>
      </c>
      <c r="C242" t="s">
        <v>148</v>
      </c>
      <c r="D242" t="s">
        <v>55</v>
      </c>
      <c r="E242" t="s">
        <v>45</v>
      </c>
      <c r="F242" t="s">
        <v>67</v>
      </c>
      <c r="G242" s="3">
        <v>6</v>
      </c>
      <c r="H242">
        <v>200</v>
      </c>
      <c r="I242">
        <v>0.05</v>
      </c>
      <c r="J242">
        <v>90</v>
      </c>
      <c r="K242">
        <v>1200</v>
      </c>
      <c r="L242">
        <v>60</v>
      </c>
      <c r="M242">
        <v>540</v>
      </c>
      <c r="N242">
        <v>600</v>
      </c>
      <c r="O242" s="4">
        <v>0.5</v>
      </c>
      <c r="P242">
        <v>2025</v>
      </c>
      <c r="Q242" t="s">
        <v>71</v>
      </c>
    </row>
    <row r="243" spans="1:17">
      <c r="A243" t="s">
        <v>404</v>
      </c>
      <c r="B243" s="2">
        <v>46216</v>
      </c>
      <c r="C243" t="s">
        <v>220</v>
      </c>
      <c r="D243" t="s">
        <v>50</v>
      </c>
      <c r="E243" t="s">
        <v>82</v>
      </c>
      <c r="F243" t="s">
        <v>86</v>
      </c>
      <c r="G243" s="3">
        <v>1</v>
      </c>
      <c r="H243">
        <v>4500</v>
      </c>
      <c r="I243">
        <v>0.05</v>
      </c>
      <c r="J243">
        <v>3000</v>
      </c>
      <c r="K243">
        <v>4500</v>
      </c>
      <c r="L243">
        <v>225</v>
      </c>
      <c r="M243">
        <v>3000</v>
      </c>
      <c r="N243">
        <v>1275</v>
      </c>
      <c r="O243" s="4">
        <v>0.28333333333333333</v>
      </c>
      <c r="P243">
        <v>2026</v>
      </c>
      <c r="Q243" t="s">
        <v>68</v>
      </c>
    </row>
    <row r="244" spans="1:17">
      <c r="A244" t="s">
        <v>405</v>
      </c>
      <c r="B244" s="2">
        <v>46342</v>
      </c>
      <c r="C244" t="s">
        <v>70</v>
      </c>
      <c r="D244" t="s">
        <v>38</v>
      </c>
      <c r="E244" t="s">
        <v>45</v>
      </c>
      <c r="F244" t="s">
        <v>67</v>
      </c>
      <c r="G244" s="3">
        <v>4</v>
      </c>
      <c r="H244">
        <v>200</v>
      </c>
      <c r="I244">
        <v>0.1</v>
      </c>
      <c r="J244">
        <v>90</v>
      </c>
      <c r="K244">
        <v>800</v>
      </c>
      <c r="L244">
        <v>80</v>
      </c>
      <c r="M244">
        <v>360</v>
      </c>
      <c r="N244">
        <v>360</v>
      </c>
      <c r="O244" s="4">
        <v>0.45</v>
      </c>
      <c r="P244">
        <v>2026</v>
      </c>
      <c r="Q244" t="s">
        <v>98</v>
      </c>
    </row>
    <row r="245" spans="1:17">
      <c r="A245" t="s">
        <v>406</v>
      </c>
      <c r="B245" s="2">
        <v>46116</v>
      </c>
      <c r="C245" t="s">
        <v>336</v>
      </c>
      <c r="D245" t="s">
        <v>50</v>
      </c>
      <c r="E245" t="s">
        <v>39</v>
      </c>
      <c r="F245" t="s">
        <v>51</v>
      </c>
      <c r="G245" s="3">
        <v>8</v>
      </c>
      <c r="H245">
        <v>250</v>
      </c>
      <c r="I245">
        <v>0</v>
      </c>
      <c r="J245">
        <v>100</v>
      </c>
      <c r="K245">
        <v>2000</v>
      </c>
      <c r="L245">
        <v>0</v>
      </c>
      <c r="M245">
        <v>800</v>
      </c>
      <c r="N245">
        <v>1200</v>
      </c>
      <c r="O245" s="4">
        <v>0.6</v>
      </c>
      <c r="P245">
        <v>2026</v>
      </c>
      <c r="Q245" t="s">
        <v>79</v>
      </c>
    </row>
    <row r="246" spans="1:17">
      <c r="A246" t="s">
        <v>407</v>
      </c>
      <c r="B246" s="2">
        <v>45719</v>
      </c>
      <c r="C246" t="s">
        <v>37</v>
      </c>
      <c r="D246" t="s">
        <v>38</v>
      </c>
      <c r="E246" t="s">
        <v>39</v>
      </c>
      <c r="F246" t="s">
        <v>64</v>
      </c>
      <c r="G246" s="3">
        <v>8</v>
      </c>
      <c r="H246">
        <v>2000</v>
      </c>
      <c r="I246">
        <v>0.1</v>
      </c>
      <c r="J246">
        <v>1200</v>
      </c>
      <c r="K246">
        <v>16000</v>
      </c>
      <c r="L246">
        <v>1600</v>
      </c>
      <c r="M246">
        <v>9600</v>
      </c>
      <c r="N246">
        <v>4800</v>
      </c>
      <c r="O246" s="4">
        <v>0.3</v>
      </c>
      <c r="P246">
        <v>2025</v>
      </c>
      <c r="Q246" t="s">
        <v>57</v>
      </c>
    </row>
    <row r="247" spans="1:17">
      <c r="A247" t="s">
        <v>408</v>
      </c>
      <c r="B247" s="2">
        <v>45959</v>
      </c>
      <c r="C247" t="s">
        <v>139</v>
      </c>
      <c r="D247" t="s">
        <v>55</v>
      </c>
      <c r="E247" t="s">
        <v>45</v>
      </c>
      <c r="F247" t="s">
        <v>67</v>
      </c>
      <c r="G247" s="3">
        <v>4</v>
      </c>
      <c r="H247">
        <v>200</v>
      </c>
      <c r="I247">
        <v>0.1</v>
      </c>
      <c r="J247">
        <v>90</v>
      </c>
      <c r="K247">
        <v>800</v>
      </c>
      <c r="L247">
        <v>80</v>
      </c>
      <c r="M247">
        <v>360</v>
      </c>
      <c r="N247">
        <v>360</v>
      </c>
      <c r="O247" s="4">
        <v>0.45</v>
      </c>
      <c r="P247">
        <v>2025</v>
      </c>
      <c r="Q247" t="s">
        <v>74</v>
      </c>
    </row>
    <row r="248" spans="1:17">
      <c r="A248" t="s">
        <v>409</v>
      </c>
      <c r="B248" s="2">
        <v>46087</v>
      </c>
      <c r="C248" t="s">
        <v>220</v>
      </c>
      <c r="D248" t="s">
        <v>44</v>
      </c>
      <c r="E248" t="s">
        <v>59</v>
      </c>
      <c r="F248" t="s">
        <v>77</v>
      </c>
      <c r="G248" s="3">
        <v>6</v>
      </c>
      <c r="H248">
        <v>1200</v>
      </c>
      <c r="I248">
        <v>0.05</v>
      </c>
      <c r="J248">
        <v>750</v>
      </c>
      <c r="K248">
        <v>7200</v>
      </c>
      <c r="L248">
        <v>360</v>
      </c>
      <c r="M248">
        <v>4500</v>
      </c>
      <c r="N248">
        <v>2340</v>
      </c>
      <c r="O248" s="4">
        <v>0.32500000000000001</v>
      </c>
      <c r="P248">
        <v>2026</v>
      </c>
      <c r="Q248" t="s">
        <v>57</v>
      </c>
    </row>
    <row r="249" spans="1:17">
      <c r="A249" t="s">
        <v>410</v>
      </c>
      <c r="B249" s="2">
        <v>46178</v>
      </c>
      <c r="C249" t="s">
        <v>376</v>
      </c>
      <c r="D249" t="s">
        <v>38</v>
      </c>
      <c r="E249" t="s">
        <v>39</v>
      </c>
      <c r="F249" t="s">
        <v>64</v>
      </c>
      <c r="G249" s="3">
        <v>3</v>
      </c>
      <c r="H249">
        <v>2000</v>
      </c>
      <c r="I249">
        <v>0.05</v>
      </c>
      <c r="J249">
        <v>1200</v>
      </c>
      <c r="K249">
        <v>6000</v>
      </c>
      <c r="L249">
        <v>300</v>
      </c>
      <c r="M249">
        <v>3600</v>
      </c>
      <c r="N249">
        <v>2100</v>
      </c>
      <c r="O249" s="4">
        <v>0.35</v>
      </c>
      <c r="P249">
        <v>2026</v>
      </c>
      <c r="Q249" t="s">
        <v>52</v>
      </c>
    </row>
    <row r="250" spans="1:17">
      <c r="A250" t="s">
        <v>411</v>
      </c>
      <c r="B250" s="2">
        <v>46152</v>
      </c>
      <c r="C250" t="s">
        <v>230</v>
      </c>
      <c r="D250" t="s">
        <v>50</v>
      </c>
      <c r="E250" t="s">
        <v>82</v>
      </c>
      <c r="F250" t="s">
        <v>86</v>
      </c>
      <c r="G250" s="3">
        <v>4</v>
      </c>
      <c r="H250">
        <v>4500</v>
      </c>
      <c r="I250">
        <v>0.15</v>
      </c>
      <c r="J250">
        <v>3000</v>
      </c>
      <c r="K250">
        <v>18000</v>
      </c>
      <c r="L250">
        <v>2700</v>
      </c>
      <c r="M250">
        <v>12000</v>
      </c>
      <c r="N250">
        <v>3300</v>
      </c>
      <c r="O250" s="4">
        <v>0.18333333333333332</v>
      </c>
      <c r="P250">
        <v>2026</v>
      </c>
      <c r="Q250" t="s">
        <v>145</v>
      </c>
    </row>
    <row r="251" spans="1:17">
      <c r="A251" t="s">
        <v>412</v>
      </c>
      <c r="B251" s="2">
        <v>46105</v>
      </c>
      <c r="C251" t="s">
        <v>141</v>
      </c>
      <c r="D251" t="s">
        <v>50</v>
      </c>
      <c r="E251" t="s">
        <v>82</v>
      </c>
      <c r="F251" t="s">
        <v>128</v>
      </c>
      <c r="G251" s="3">
        <v>2</v>
      </c>
      <c r="H251">
        <v>6000</v>
      </c>
      <c r="I251">
        <v>0.05</v>
      </c>
      <c r="J251">
        <v>4000</v>
      </c>
      <c r="K251">
        <v>12000</v>
      </c>
      <c r="L251">
        <v>600</v>
      </c>
      <c r="M251">
        <v>8000</v>
      </c>
      <c r="N251">
        <v>3400</v>
      </c>
      <c r="O251" s="4">
        <v>0.28333333333333333</v>
      </c>
      <c r="P251">
        <v>2026</v>
      </c>
      <c r="Q251" t="s">
        <v>57</v>
      </c>
    </row>
    <row r="252" spans="1:17">
      <c r="A252" t="s">
        <v>413</v>
      </c>
      <c r="B252" s="2">
        <v>45925</v>
      </c>
      <c r="C252" t="s">
        <v>203</v>
      </c>
      <c r="D252" t="s">
        <v>44</v>
      </c>
      <c r="E252" t="s">
        <v>59</v>
      </c>
      <c r="F252" t="s">
        <v>77</v>
      </c>
      <c r="G252" s="3">
        <v>8</v>
      </c>
      <c r="H252">
        <v>1200</v>
      </c>
      <c r="I252">
        <v>0</v>
      </c>
      <c r="J252">
        <v>750</v>
      </c>
      <c r="K252">
        <v>9600</v>
      </c>
      <c r="L252">
        <v>0</v>
      </c>
      <c r="M252">
        <v>6000</v>
      </c>
      <c r="N252">
        <v>3600</v>
      </c>
      <c r="O252" s="4">
        <v>0.375</v>
      </c>
      <c r="P252">
        <v>2025</v>
      </c>
      <c r="Q252" t="s">
        <v>41</v>
      </c>
    </row>
    <row r="253" spans="1:17">
      <c r="A253" t="s">
        <v>414</v>
      </c>
      <c r="B253" s="2">
        <v>46127</v>
      </c>
      <c r="C253" t="s">
        <v>415</v>
      </c>
      <c r="D253" t="s">
        <v>55</v>
      </c>
      <c r="E253" t="s">
        <v>45</v>
      </c>
      <c r="F253" t="s">
        <v>95</v>
      </c>
      <c r="G253" s="3">
        <v>2</v>
      </c>
      <c r="H253">
        <v>150</v>
      </c>
      <c r="I253">
        <v>0.1</v>
      </c>
      <c r="J253">
        <v>60</v>
      </c>
      <c r="K253">
        <v>300</v>
      </c>
      <c r="L253">
        <v>30</v>
      </c>
      <c r="M253">
        <v>120</v>
      </c>
      <c r="N253">
        <v>150</v>
      </c>
      <c r="O253" s="4">
        <v>0.5</v>
      </c>
      <c r="P253">
        <v>2026</v>
      </c>
      <c r="Q253" t="s">
        <v>79</v>
      </c>
    </row>
    <row r="254" spans="1:17">
      <c r="A254" t="s">
        <v>416</v>
      </c>
      <c r="B254" s="2">
        <v>45739</v>
      </c>
      <c r="C254" t="s">
        <v>376</v>
      </c>
      <c r="D254" t="s">
        <v>44</v>
      </c>
      <c r="E254" t="s">
        <v>59</v>
      </c>
      <c r="F254" t="s">
        <v>60</v>
      </c>
      <c r="G254" s="3">
        <v>1</v>
      </c>
      <c r="H254">
        <v>1500</v>
      </c>
      <c r="I254">
        <v>0.15</v>
      </c>
      <c r="J254">
        <v>900</v>
      </c>
      <c r="K254">
        <v>1500</v>
      </c>
      <c r="L254">
        <v>225</v>
      </c>
      <c r="M254">
        <v>900</v>
      </c>
      <c r="N254">
        <v>375</v>
      </c>
      <c r="O254" s="4">
        <v>0.25</v>
      </c>
      <c r="P254">
        <v>2025</v>
      </c>
      <c r="Q254" t="s">
        <v>57</v>
      </c>
    </row>
    <row r="255" spans="1:17">
      <c r="A255" t="s">
        <v>417</v>
      </c>
      <c r="B255" s="2">
        <v>46048</v>
      </c>
      <c r="C255" t="s">
        <v>418</v>
      </c>
      <c r="D255" t="s">
        <v>44</v>
      </c>
      <c r="E255" t="s">
        <v>82</v>
      </c>
      <c r="F255" t="s">
        <v>83</v>
      </c>
      <c r="G255" s="3">
        <v>5</v>
      </c>
      <c r="H255">
        <v>3500</v>
      </c>
      <c r="I255">
        <v>0</v>
      </c>
      <c r="J255">
        <v>2200</v>
      </c>
      <c r="K255">
        <v>17500</v>
      </c>
      <c r="L255">
        <v>0</v>
      </c>
      <c r="M255">
        <v>11000</v>
      </c>
      <c r="N255">
        <v>6500</v>
      </c>
      <c r="O255" s="4">
        <v>0.37142857142857144</v>
      </c>
      <c r="P255">
        <v>2026</v>
      </c>
      <c r="Q255" t="s">
        <v>47</v>
      </c>
    </row>
    <row r="256" spans="1:17">
      <c r="A256" t="s">
        <v>419</v>
      </c>
      <c r="B256" s="2">
        <v>46004</v>
      </c>
      <c r="C256" t="s">
        <v>108</v>
      </c>
      <c r="D256" t="s">
        <v>38</v>
      </c>
      <c r="E256" t="s">
        <v>82</v>
      </c>
      <c r="F256" t="s">
        <v>128</v>
      </c>
      <c r="G256" s="3">
        <v>5</v>
      </c>
      <c r="H256">
        <v>6000</v>
      </c>
      <c r="I256">
        <v>0.15</v>
      </c>
      <c r="J256">
        <v>4000</v>
      </c>
      <c r="K256">
        <v>30000</v>
      </c>
      <c r="L256">
        <v>4500</v>
      </c>
      <c r="M256">
        <v>20000</v>
      </c>
      <c r="N256">
        <v>5500</v>
      </c>
      <c r="O256" s="4">
        <v>0.18333333333333332</v>
      </c>
      <c r="P256">
        <v>2025</v>
      </c>
      <c r="Q256" t="s">
        <v>61</v>
      </c>
    </row>
    <row r="257" spans="1:17">
      <c r="A257" t="s">
        <v>420</v>
      </c>
      <c r="B257" s="2">
        <v>45967</v>
      </c>
      <c r="C257" t="s">
        <v>415</v>
      </c>
      <c r="D257" t="s">
        <v>55</v>
      </c>
      <c r="E257" t="s">
        <v>39</v>
      </c>
      <c r="F257" t="s">
        <v>51</v>
      </c>
      <c r="G257" s="3">
        <v>3</v>
      </c>
      <c r="H257">
        <v>250</v>
      </c>
      <c r="I257">
        <v>0</v>
      </c>
      <c r="J257">
        <v>100</v>
      </c>
      <c r="K257">
        <v>750</v>
      </c>
      <c r="L257">
        <v>0</v>
      </c>
      <c r="M257">
        <v>300</v>
      </c>
      <c r="N257">
        <v>450</v>
      </c>
      <c r="O257" s="4">
        <v>0.6</v>
      </c>
      <c r="P257">
        <v>2025</v>
      </c>
      <c r="Q257" t="s">
        <v>98</v>
      </c>
    </row>
    <row r="258" spans="1:17">
      <c r="A258" t="s">
        <v>421</v>
      </c>
      <c r="B258" s="2">
        <v>46351</v>
      </c>
      <c r="C258" t="s">
        <v>298</v>
      </c>
      <c r="D258" t="s">
        <v>38</v>
      </c>
      <c r="E258" t="s">
        <v>45</v>
      </c>
      <c r="F258" t="s">
        <v>168</v>
      </c>
      <c r="G258" s="3">
        <v>6</v>
      </c>
      <c r="H258">
        <v>100</v>
      </c>
      <c r="I258">
        <v>0</v>
      </c>
      <c r="J258">
        <v>40</v>
      </c>
      <c r="K258">
        <v>600</v>
      </c>
      <c r="L258">
        <v>0</v>
      </c>
      <c r="M258">
        <v>240</v>
      </c>
      <c r="N258">
        <v>360</v>
      </c>
      <c r="O258" s="4">
        <v>0.6</v>
      </c>
      <c r="P258">
        <v>2026</v>
      </c>
      <c r="Q258" t="s">
        <v>98</v>
      </c>
    </row>
    <row r="259" spans="1:17">
      <c r="A259" t="s">
        <v>422</v>
      </c>
      <c r="B259" s="2">
        <v>45782</v>
      </c>
      <c r="C259" t="s">
        <v>43</v>
      </c>
      <c r="D259" t="s">
        <v>38</v>
      </c>
      <c r="E259" t="s">
        <v>82</v>
      </c>
      <c r="F259" t="s">
        <v>83</v>
      </c>
      <c r="G259" s="3">
        <v>4</v>
      </c>
      <c r="H259">
        <v>3500</v>
      </c>
      <c r="I259">
        <v>0.15</v>
      </c>
      <c r="J259">
        <v>2200</v>
      </c>
      <c r="K259">
        <v>14000</v>
      </c>
      <c r="L259">
        <v>2100</v>
      </c>
      <c r="M259">
        <v>8800</v>
      </c>
      <c r="N259">
        <v>3100</v>
      </c>
      <c r="O259" s="4">
        <v>0.22142857142857142</v>
      </c>
      <c r="P259">
        <v>2025</v>
      </c>
      <c r="Q259" t="s">
        <v>145</v>
      </c>
    </row>
    <row r="260" spans="1:17">
      <c r="A260" t="s">
        <v>423</v>
      </c>
      <c r="B260" s="2">
        <v>46324</v>
      </c>
      <c r="C260" t="s">
        <v>424</v>
      </c>
      <c r="D260" t="s">
        <v>50</v>
      </c>
      <c r="E260" t="s">
        <v>39</v>
      </c>
      <c r="F260" t="s">
        <v>56</v>
      </c>
      <c r="G260" s="3">
        <v>3</v>
      </c>
      <c r="H260">
        <v>800</v>
      </c>
      <c r="I260">
        <v>0</v>
      </c>
      <c r="J260">
        <v>450</v>
      </c>
      <c r="K260">
        <v>2400</v>
      </c>
      <c r="L260">
        <v>0</v>
      </c>
      <c r="M260">
        <v>1350</v>
      </c>
      <c r="N260">
        <v>1050</v>
      </c>
      <c r="O260" s="4">
        <v>0.4375</v>
      </c>
      <c r="P260">
        <v>2026</v>
      </c>
      <c r="Q260" t="s">
        <v>74</v>
      </c>
    </row>
    <row r="261" spans="1:17">
      <c r="A261" t="s">
        <v>425</v>
      </c>
      <c r="B261" s="2">
        <v>45837</v>
      </c>
      <c r="C261" t="s">
        <v>418</v>
      </c>
      <c r="D261" t="s">
        <v>50</v>
      </c>
      <c r="E261" t="s">
        <v>82</v>
      </c>
      <c r="F261" t="s">
        <v>128</v>
      </c>
      <c r="G261" s="3">
        <v>8</v>
      </c>
      <c r="H261">
        <v>6000</v>
      </c>
      <c r="I261">
        <v>0</v>
      </c>
      <c r="J261">
        <v>4000</v>
      </c>
      <c r="K261">
        <v>48000</v>
      </c>
      <c r="L261">
        <v>0</v>
      </c>
      <c r="M261">
        <v>32000</v>
      </c>
      <c r="N261">
        <v>16000</v>
      </c>
      <c r="O261" s="4">
        <v>0.33333333333333331</v>
      </c>
      <c r="P261">
        <v>2025</v>
      </c>
      <c r="Q261" t="s">
        <v>52</v>
      </c>
    </row>
    <row r="262" spans="1:17">
      <c r="A262" t="s">
        <v>426</v>
      </c>
      <c r="B262" s="2">
        <v>45793</v>
      </c>
      <c r="C262" t="s">
        <v>260</v>
      </c>
      <c r="D262" t="s">
        <v>38</v>
      </c>
      <c r="E262" t="s">
        <v>39</v>
      </c>
      <c r="F262" t="s">
        <v>40</v>
      </c>
      <c r="G262" s="3">
        <v>3</v>
      </c>
      <c r="H262">
        <v>700</v>
      </c>
      <c r="I262">
        <v>0</v>
      </c>
      <c r="J262">
        <v>400</v>
      </c>
      <c r="K262">
        <v>2100</v>
      </c>
      <c r="L262">
        <v>0</v>
      </c>
      <c r="M262">
        <v>1200</v>
      </c>
      <c r="N262">
        <v>900</v>
      </c>
      <c r="O262" s="4">
        <v>0.42857142857142855</v>
      </c>
      <c r="P262">
        <v>2025</v>
      </c>
      <c r="Q262" t="s">
        <v>145</v>
      </c>
    </row>
    <row r="263" spans="1:17">
      <c r="A263" t="s">
        <v>427</v>
      </c>
      <c r="B263" s="2">
        <v>46383</v>
      </c>
      <c r="C263" t="s">
        <v>122</v>
      </c>
      <c r="D263" t="s">
        <v>44</v>
      </c>
      <c r="E263" t="s">
        <v>39</v>
      </c>
      <c r="F263" t="s">
        <v>51</v>
      </c>
      <c r="G263" s="3">
        <v>6</v>
      </c>
      <c r="H263">
        <v>250</v>
      </c>
      <c r="I263">
        <v>0.15</v>
      </c>
      <c r="J263">
        <v>100</v>
      </c>
      <c r="K263">
        <v>1500</v>
      </c>
      <c r="L263">
        <v>225</v>
      </c>
      <c r="M263">
        <v>600</v>
      </c>
      <c r="N263">
        <v>675</v>
      </c>
      <c r="O263" s="4">
        <v>0.45</v>
      </c>
      <c r="P263">
        <v>2026</v>
      </c>
      <c r="Q263" t="s">
        <v>61</v>
      </c>
    </row>
    <row r="264" spans="1:17">
      <c r="A264" t="s">
        <v>428</v>
      </c>
      <c r="B264" s="2">
        <v>45861</v>
      </c>
      <c r="C264" t="s">
        <v>263</v>
      </c>
      <c r="D264" t="s">
        <v>55</v>
      </c>
      <c r="E264" t="s">
        <v>45</v>
      </c>
      <c r="F264" t="s">
        <v>95</v>
      </c>
      <c r="G264" s="3">
        <v>4</v>
      </c>
      <c r="H264">
        <v>150</v>
      </c>
      <c r="I264">
        <v>0.15</v>
      </c>
      <c r="J264">
        <v>60</v>
      </c>
      <c r="K264">
        <v>600</v>
      </c>
      <c r="L264">
        <v>90</v>
      </c>
      <c r="M264">
        <v>240</v>
      </c>
      <c r="N264">
        <v>270</v>
      </c>
      <c r="O264" s="4">
        <v>0.45</v>
      </c>
      <c r="P264">
        <v>2025</v>
      </c>
      <c r="Q264" t="s">
        <v>68</v>
      </c>
    </row>
    <row r="265" spans="1:17">
      <c r="A265" t="s">
        <v>429</v>
      </c>
      <c r="B265" s="2">
        <v>45827</v>
      </c>
      <c r="C265" t="s">
        <v>213</v>
      </c>
      <c r="D265" t="s">
        <v>55</v>
      </c>
      <c r="E265" t="s">
        <v>82</v>
      </c>
      <c r="F265" t="s">
        <v>128</v>
      </c>
      <c r="G265" s="3">
        <v>2</v>
      </c>
      <c r="H265">
        <v>6000</v>
      </c>
      <c r="I265">
        <v>0</v>
      </c>
      <c r="J265">
        <v>4000</v>
      </c>
      <c r="K265">
        <v>12000</v>
      </c>
      <c r="L265">
        <v>0</v>
      </c>
      <c r="M265">
        <v>8000</v>
      </c>
      <c r="N265">
        <v>4000</v>
      </c>
      <c r="O265" s="4">
        <v>0.33333333333333331</v>
      </c>
      <c r="P265">
        <v>2025</v>
      </c>
      <c r="Q265" t="s">
        <v>52</v>
      </c>
    </row>
    <row r="266" spans="1:17">
      <c r="A266" t="s">
        <v>430</v>
      </c>
      <c r="B266" s="2">
        <v>46208</v>
      </c>
      <c r="C266" t="s">
        <v>165</v>
      </c>
      <c r="D266" t="s">
        <v>50</v>
      </c>
      <c r="E266" t="s">
        <v>82</v>
      </c>
      <c r="F266" t="s">
        <v>83</v>
      </c>
      <c r="G266" s="3">
        <v>2</v>
      </c>
      <c r="H266">
        <v>3500</v>
      </c>
      <c r="I266">
        <v>0.15</v>
      </c>
      <c r="J266">
        <v>2200</v>
      </c>
      <c r="K266">
        <v>7000</v>
      </c>
      <c r="L266">
        <v>1050</v>
      </c>
      <c r="M266">
        <v>4400</v>
      </c>
      <c r="N266">
        <v>1550</v>
      </c>
      <c r="O266" s="4">
        <v>0.22142857142857142</v>
      </c>
      <c r="P266">
        <v>2026</v>
      </c>
      <c r="Q266" t="s">
        <v>68</v>
      </c>
    </row>
    <row r="267" spans="1:17">
      <c r="A267" t="s">
        <v>431</v>
      </c>
      <c r="B267" s="2">
        <v>46227</v>
      </c>
      <c r="C267" t="s">
        <v>100</v>
      </c>
      <c r="D267" t="s">
        <v>55</v>
      </c>
      <c r="E267" t="s">
        <v>59</v>
      </c>
      <c r="F267" t="s">
        <v>158</v>
      </c>
      <c r="G267" s="3">
        <v>2</v>
      </c>
      <c r="H267">
        <v>500</v>
      </c>
      <c r="I267">
        <v>0.15</v>
      </c>
      <c r="J267">
        <v>250</v>
      </c>
      <c r="K267">
        <v>1000</v>
      </c>
      <c r="L267">
        <v>150</v>
      </c>
      <c r="M267">
        <v>500</v>
      </c>
      <c r="N267">
        <v>350</v>
      </c>
      <c r="O267" s="4">
        <v>0.35</v>
      </c>
      <c r="P267">
        <v>2026</v>
      </c>
      <c r="Q267" t="s">
        <v>68</v>
      </c>
    </row>
    <row r="268" spans="1:17">
      <c r="A268" t="s">
        <v>432</v>
      </c>
      <c r="B268" s="2">
        <v>45776</v>
      </c>
      <c r="C268" t="s">
        <v>106</v>
      </c>
      <c r="D268" t="s">
        <v>44</v>
      </c>
      <c r="E268" t="s">
        <v>59</v>
      </c>
      <c r="F268" t="s">
        <v>158</v>
      </c>
      <c r="G268" s="3">
        <v>5</v>
      </c>
      <c r="H268">
        <v>500</v>
      </c>
      <c r="I268">
        <v>0.1</v>
      </c>
      <c r="J268">
        <v>250</v>
      </c>
      <c r="K268">
        <v>2500</v>
      </c>
      <c r="L268">
        <v>250</v>
      </c>
      <c r="M268">
        <v>1250</v>
      </c>
      <c r="N268">
        <v>1000</v>
      </c>
      <c r="O268" s="4">
        <v>0.4</v>
      </c>
      <c r="P268">
        <v>2025</v>
      </c>
      <c r="Q268" t="s">
        <v>79</v>
      </c>
    </row>
    <row r="269" spans="1:17">
      <c r="A269" t="s">
        <v>433</v>
      </c>
      <c r="B269" s="2">
        <v>46223</v>
      </c>
      <c r="C269" t="s">
        <v>228</v>
      </c>
      <c r="D269" t="s">
        <v>38</v>
      </c>
      <c r="E269" t="s">
        <v>82</v>
      </c>
      <c r="F269" t="s">
        <v>128</v>
      </c>
      <c r="G269" s="3">
        <v>6</v>
      </c>
      <c r="H269">
        <v>6000</v>
      </c>
      <c r="I269">
        <v>0.1</v>
      </c>
      <c r="J269">
        <v>4000</v>
      </c>
      <c r="K269">
        <v>36000</v>
      </c>
      <c r="L269">
        <v>3600</v>
      </c>
      <c r="M269">
        <v>24000</v>
      </c>
      <c r="N269">
        <v>8400</v>
      </c>
      <c r="O269" s="4">
        <v>0.23333333333333334</v>
      </c>
      <c r="P269">
        <v>2026</v>
      </c>
      <c r="Q269" t="s">
        <v>68</v>
      </c>
    </row>
    <row r="270" spans="1:17">
      <c r="A270" t="s">
        <v>434</v>
      </c>
      <c r="B270" s="2">
        <v>45961</v>
      </c>
      <c r="C270" t="s">
        <v>157</v>
      </c>
      <c r="D270" t="s">
        <v>55</v>
      </c>
      <c r="E270" t="s">
        <v>39</v>
      </c>
      <c r="F270" t="s">
        <v>56</v>
      </c>
      <c r="G270" s="3">
        <v>5</v>
      </c>
      <c r="H270">
        <v>800</v>
      </c>
      <c r="I270">
        <v>0.15</v>
      </c>
      <c r="J270">
        <v>450</v>
      </c>
      <c r="K270">
        <v>4000</v>
      </c>
      <c r="L270">
        <v>600</v>
      </c>
      <c r="M270">
        <v>2250</v>
      </c>
      <c r="N270">
        <v>1150</v>
      </c>
      <c r="O270" s="4">
        <v>0.28749999999999998</v>
      </c>
      <c r="P270">
        <v>2025</v>
      </c>
      <c r="Q270" t="s">
        <v>74</v>
      </c>
    </row>
    <row r="271" spans="1:17">
      <c r="A271" t="s">
        <v>435</v>
      </c>
      <c r="B271" s="2">
        <v>45849</v>
      </c>
      <c r="C271" t="s">
        <v>170</v>
      </c>
      <c r="D271" t="s">
        <v>55</v>
      </c>
      <c r="E271" t="s">
        <v>45</v>
      </c>
      <c r="F271" t="s">
        <v>67</v>
      </c>
      <c r="G271" s="3">
        <v>4</v>
      </c>
      <c r="H271">
        <v>200</v>
      </c>
      <c r="I271">
        <v>0</v>
      </c>
      <c r="J271">
        <v>90</v>
      </c>
      <c r="K271">
        <v>800</v>
      </c>
      <c r="L271">
        <v>0</v>
      </c>
      <c r="M271">
        <v>360</v>
      </c>
      <c r="N271">
        <v>440</v>
      </c>
      <c r="O271" s="4">
        <v>0.55000000000000004</v>
      </c>
      <c r="P271">
        <v>2025</v>
      </c>
      <c r="Q271" t="s">
        <v>68</v>
      </c>
    </row>
    <row r="272" spans="1:17">
      <c r="A272" t="s">
        <v>436</v>
      </c>
      <c r="B272" s="2">
        <v>45991</v>
      </c>
      <c r="C272" t="s">
        <v>418</v>
      </c>
      <c r="D272" t="s">
        <v>50</v>
      </c>
      <c r="E272" t="s">
        <v>82</v>
      </c>
      <c r="F272" t="s">
        <v>128</v>
      </c>
      <c r="G272" s="3">
        <v>6</v>
      </c>
      <c r="H272">
        <v>6000</v>
      </c>
      <c r="I272">
        <v>0</v>
      </c>
      <c r="J272">
        <v>4000</v>
      </c>
      <c r="K272">
        <v>36000</v>
      </c>
      <c r="L272">
        <v>0</v>
      </c>
      <c r="M272">
        <v>24000</v>
      </c>
      <c r="N272">
        <v>12000</v>
      </c>
      <c r="O272" s="4">
        <v>0.33333333333333331</v>
      </c>
      <c r="P272">
        <v>2025</v>
      </c>
      <c r="Q272" t="s">
        <v>98</v>
      </c>
    </row>
    <row r="273" spans="1:17">
      <c r="A273" t="s">
        <v>437</v>
      </c>
      <c r="B273" s="2">
        <v>46323</v>
      </c>
      <c r="C273" t="s">
        <v>322</v>
      </c>
      <c r="D273" t="s">
        <v>38</v>
      </c>
      <c r="E273" t="s">
        <v>39</v>
      </c>
      <c r="F273" t="s">
        <v>64</v>
      </c>
      <c r="G273" s="3">
        <v>2</v>
      </c>
      <c r="H273">
        <v>2000</v>
      </c>
      <c r="I273">
        <v>0.15</v>
      </c>
      <c r="J273">
        <v>1200</v>
      </c>
      <c r="K273">
        <v>4000</v>
      </c>
      <c r="L273">
        <v>600</v>
      </c>
      <c r="M273">
        <v>2400</v>
      </c>
      <c r="N273">
        <v>1000</v>
      </c>
      <c r="O273" s="4">
        <v>0.25</v>
      </c>
      <c r="P273">
        <v>2026</v>
      </c>
      <c r="Q273" t="s">
        <v>74</v>
      </c>
    </row>
    <row r="274" spans="1:17">
      <c r="A274" t="s">
        <v>438</v>
      </c>
      <c r="B274" s="2">
        <v>46123</v>
      </c>
      <c r="C274" t="s">
        <v>225</v>
      </c>
      <c r="D274" t="s">
        <v>50</v>
      </c>
      <c r="E274" t="s">
        <v>59</v>
      </c>
      <c r="F274" t="s">
        <v>60</v>
      </c>
      <c r="G274" s="3">
        <v>5</v>
      </c>
      <c r="H274">
        <v>1500</v>
      </c>
      <c r="I274">
        <v>0.15</v>
      </c>
      <c r="J274">
        <v>900</v>
      </c>
      <c r="K274">
        <v>7500</v>
      </c>
      <c r="L274">
        <v>1125</v>
      </c>
      <c r="M274">
        <v>4500</v>
      </c>
      <c r="N274">
        <v>1875</v>
      </c>
      <c r="O274" s="4">
        <v>0.25</v>
      </c>
      <c r="P274">
        <v>2026</v>
      </c>
      <c r="Q274" t="s">
        <v>79</v>
      </c>
    </row>
    <row r="275" spans="1:17">
      <c r="A275" t="s">
        <v>439</v>
      </c>
      <c r="B275" s="2">
        <v>45701</v>
      </c>
      <c r="C275" t="s">
        <v>257</v>
      </c>
      <c r="D275" t="s">
        <v>38</v>
      </c>
      <c r="E275" t="s">
        <v>82</v>
      </c>
      <c r="F275" t="s">
        <v>86</v>
      </c>
      <c r="G275" s="3">
        <v>2</v>
      </c>
      <c r="H275">
        <v>4500</v>
      </c>
      <c r="I275">
        <v>0</v>
      </c>
      <c r="J275">
        <v>3000</v>
      </c>
      <c r="K275">
        <v>9000</v>
      </c>
      <c r="L275">
        <v>0</v>
      </c>
      <c r="M275">
        <v>6000</v>
      </c>
      <c r="N275">
        <v>3000</v>
      </c>
      <c r="O275" s="4">
        <v>0.33333333333333331</v>
      </c>
      <c r="P275">
        <v>2025</v>
      </c>
      <c r="Q275" t="s">
        <v>87</v>
      </c>
    </row>
    <row r="276" spans="1:17">
      <c r="A276" t="s">
        <v>440</v>
      </c>
      <c r="B276" s="2">
        <v>45907</v>
      </c>
      <c r="C276" t="s">
        <v>139</v>
      </c>
      <c r="D276" t="s">
        <v>44</v>
      </c>
      <c r="E276" t="s">
        <v>45</v>
      </c>
      <c r="F276" t="s">
        <v>46</v>
      </c>
      <c r="G276" s="3">
        <v>7</v>
      </c>
      <c r="H276">
        <v>300</v>
      </c>
      <c r="I276">
        <v>0.1</v>
      </c>
      <c r="J276">
        <v>180</v>
      </c>
      <c r="K276">
        <v>2100</v>
      </c>
      <c r="L276">
        <v>210</v>
      </c>
      <c r="M276">
        <v>1260</v>
      </c>
      <c r="N276">
        <v>630</v>
      </c>
      <c r="O276" s="4">
        <v>0.3</v>
      </c>
      <c r="P276">
        <v>2025</v>
      </c>
      <c r="Q276" t="s">
        <v>41</v>
      </c>
    </row>
    <row r="277" spans="1:17">
      <c r="A277" t="s">
        <v>441</v>
      </c>
      <c r="B277" s="2">
        <v>46301</v>
      </c>
      <c r="C277" t="s">
        <v>141</v>
      </c>
      <c r="D277" t="s">
        <v>44</v>
      </c>
      <c r="E277" t="s">
        <v>82</v>
      </c>
      <c r="F277" t="s">
        <v>128</v>
      </c>
      <c r="G277" s="3">
        <v>3</v>
      </c>
      <c r="H277">
        <v>6000</v>
      </c>
      <c r="I277">
        <v>0.05</v>
      </c>
      <c r="J277">
        <v>4000</v>
      </c>
      <c r="K277">
        <v>18000</v>
      </c>
      <c r="L277">
        <v>900</v>
      </c>
      <c r="M277">
        <v>12000</v>
      </c>
      <c r="N277">
        <v>5100</v>
      </c>
      <c r="O277" s="4">
        <v>0.28333333333333333</v>
      </c>
      <c r="P277">
        <v>2026</v>
      </c>
      <c r="Q277" t="s">
        <v>74</v>
      </c>
    </row>
    <row r="278" spans="1:17">
      <c r="A278" t="s">
        <v>442</v>
      </c>
      <c r="B278" s="2">
        <v>45856</v>
      </c>
      <c r="C278" t="s">
        <v>151</v>
      </c>
      <c r="D278" t="s">
        <v>38</v>
      </c>
      <c r="E278" t="s">
        <v>82</v>
      </c>
      <c r="F278" t="s">
        <v>101</v>
      </c>
      <c r="G278" s="3">
        <v>4</v>
      </c>
      <c r="H278">
        <v>4000</v>
      </c>
      <c r="I278">
        <v>0.05</v>
      </c>
      <c r="J278">
        <v>2700</v>
      </c>
      <c r="K278">
        <v>16000</v>
      </c>
      <c r="L278">
        <v>800</v>
      </c>
      <c r="M278">
        <v>10800</v>
      </c>
      <c r="N278">
        <v>4400</v>
      </c>
      <c r="O278" s="4">
        <v>0.27500000000000002</v>
      </c>
      <c r="P278">
        <v>2025</v>
      </c>
      <c r="Q278" t="s">
        <v>68</v>
      </c>
    </row>
    <row r="279" spans="1:17">
      <c r="A279" t="s">
        <v>443</v>
      </c>
      <c r="B279" s="2">
        <v>46233</v>
      </c>
      <c r="C279" t="s">
        <v>213</v>
      </c>
      <c r="D279" t="s">
        <v>50</v>
      </c>
      <c r="E279" t="s">
        <v>59</v>
      </c>
      <c r="F279" t="s">
        <v>60</v>
      </c>
      <c r="G279" s="3">
        <v>3</v>
      </c>
      <c r="H279">
        <v>1500</v>
      </c>
      <c r="I279">
        <v>0.05</v>
      </c>
      <c r="J279">
        <v>900</v>
      </c>
      <c r="K279">
        <v>4500</v>
      </c>
      <c r="L279">
        <v>225</v>
      </c>
      <c r="M279">
        <v>2700</v>
      </c>
      <c r="N279">
        <v>1575</v>
      </c>
      <c r="O279" s="4">
        <v>0.35</v>
      </c>
      <c r="P279">
        <v>2026</v>
      </c>
      <c r="Q279" t="s">
        <v>68</v>
      </c>
    </row>
    <row r="280" spans="1:17">
      <c r="A280" t="s">
        <v>444</v>
      </c>
      <c r="B280" s="2">
        <v>46083</v>
      </c>
      <c r="C280" t="s">
        <v>347</v>
      </c>
      <c r="D280" t="s">
        <v>38</v>
      </c>
      <c r="E280" t="s">
        <v>59</v>
      </c>
      <c r="F280" t="s">
        <v>158</v>
      </c>
      <c r="G280" s="3">
        <v>2</v>
      </c>
      <c r="H280">
        <v>500</v>
      </c>
      <c r="I280">
        <v>0.05</v>
      </c>
      <c r="J280">
        <v>250</v>
      </c>
      <c r="K280">
        <v>1000</v>
      </c>
      <c r="L280">
        <v>50</v>
      </c>
      <c r="M280">
        <v>500</v>
      </c>
      <c r="N280">
        <v>450</v>
      </c>
      <c r="O280" s="4">
        <v>0.45</v>
      </c>
      <c r="P280">
        <v>2026</v>
      </c>
      <c r="Q280" t="s">
        <v>57</v>
      </c>
    </row>
    <row r="281" spans="1:17">
      <c r="A281" t="s">
        <v>445</v>
      </c>
      <c r="B281" s="2">
        <v>45834</v>
      </c>
      <c r="C281" t="s">
        <v>230</v>
      </c>
      <c r="D281" t="s">
        <v>50</v>
      </c>
      <c r="E281" t="s">
        <v>45</v>
      </c>
      <c r="F281" t="s">
        <v>67</v>
      </c>
      <c r="G281" s="3">
        <v>2</v>
      </c>
      <c r="H281">
        <v>200</v>
      </c>
      <c r="I281">
        <v>0.05</v>
      </c>
      <c r="J281">
        <v>90</v>
      </c>
      <c r="K281">
        <v>400</v>
      </c>
      <c r="L281">
        <v>20</v>
      </c>
      <c r="M281">
        <v>180</v>
      </c>
      <c r="N281">
        <v>200</v>
      </c>
      <c r="O281" s="4">
        <v>0.5</v>
      </c>
      <c r="P281">
        <v>2025</v>
      </c>
      <c r="Q281" t="s">
        <v>52</v>
      </c>
    </row>
    <row r="282" spans="1:17">
      <c r="A282" t="s">
        <v>446</v>
      </c>
      <c r="B282" s="2">
        <v>45722</v>
      </c>
      <c r="C282" t="s">
        <v>70</v>
      </c>
      <c r="D282" t="s">
        <v>50</v>
      </c>
      <c r="E282" t="s">
        <v>82</v>
      </c>
      <c r="F282" t="s">
        <v>83</v>
      </c>
      <c r="G282" s="3">
        <v>1</v>
      </c>
      <c r="H282">
        <v>3500</v>
      </c>
      <c r="I282">
        <v>0.1</v>
      </c>
      <c r="J282">
        <v>2200</v>
      </c>
      <c r="K282">
        <v>3500</v>
      </c>
      <c r="L282">
        <v>350</v>
      </c>
      <c r="M282">
        <v>2200</v>
      </c>
      <c r="N282">
        <v>950</v>
      </c>
      <c r="O282" s="4">
        <v>0.27142857142857141</v>
      </c>
      <c r="P282">
        <v>2025</v>
      </c>
      <c r="Q282" t="s">
        <v>57</v>
      </c>
    </row>
    <row r="283" spans="1:17">
      <c r="A283" t="s">
        <v>447</v>
      </c>
      <c r="B283" s="2">
        <v>45675</v>
      </c>
      <c r="C283" t="s">
        <v>37</v>
      </c>
      <c r="D283" t="s">
        <v>38</v>
      </c>
      <c r="E283" t="s">
        <v>59</v>
      </c>
      <c r="F283" t="s">
        <v>158</v>
      </c>
      <c r="G283" s="3">
        <v>4</v>
      </c>
      <c r="H283">
        <v>500</v>
      </c>
      <c r="I283">
        <v>0.05</v>
      </c>
      <c r="J283">
        <v>250</v>
      </c>
      <c r="K283">
        <v>2000</v>
      </c>
      <c r="L283">
        <v>100</v>
      </c>
      <c r="M283">
        <v>1000</v>
      </c>
      <c r="N283">
        <v>900</v>
      </c>
      <c r="O283" s="4">
        <v>0.45</v>
      </c>
      <c r="P283">
        <v>2025</v>
      </c>
      <c r="Q283" t="s">
        <v>47</v>
      </c>
    </row>
    <row r="284" spans="1:17">
      <c r="A284" t="s">
        <v>448</v>
      </c>
      <c r="B284" s="2">
        <v>45931</v>
      </c>
      <c r="C284" t="s">
        <v>449</v>
      </c>
      <c r="D284" t="s">
        <v>55</v>
      </c>
      <c r="E284" t="s">
        <v>39</v>
      </c>
      <c r="F284" t="s">
        <v>51</v>
      </c>
      <c r="G284" s="3">
        <v>3</v>
      </c>
      <c r="H284">
        <v>250</v>
      </c>
      <c r="I284">
        <v>0.15</v>
      </c>
      <c r="J284">
        <v>100</v>
      </c>
      <c r="K284">
        <v>750</v>
      </c>
      <c r="L284">
        <v>112.5</v>
      </c>
      <c r="M284">
        <v>300</v>
      </c>
      <c r="N284">
        <v>337.5</v>
      </c>
      <c r="O284" s="4">
        <v>0.45</v>
      </c>
      <c r="P284">
        <v>2025</v>
      </c>
      <c r="Q284" t="s">
        <v>74</v>
      </c>
    </row>
    <row r="285" spans="1:17">
      <c r="A285" t="s">
        <v>450</v>
      </c>
      <c r="B285" s="2">
        <v>46221</v>
      </c>
      <c r="C285" t="s">
        <v>139</v>
      </c>
      <c r="D285" t="s">
        <v>50</v>
      </c>
      <c r="E285" t="s">
        <v>39</v>
      </c>
      <c r="F285" t="s">
        <v>64</v>
      </c>
      <c r="G285" s="3">
        <v>6</v>
      </c>
      <c r="H285">
        <v>2000</v>
      </c>
      <c r="I285">
        <v>0.05</v>
      </c>
      <c r="J285">
        <v>1200</v>
      </c>
      <c r="K285">
        <v>12000</v>
      </c>
      <c r="L285">
        <v>600</v>
      </c>
      <c r="M285">
        <v>7200</v>
      </c>
      <c r="N285">
        <v>4200</v>
      </c>
      <c r="O285" s="4">
        <v>0.35</v>
      </c>
      <c r="P285">
        <v>2026</v>
      </c>
      <c r="Q285" t="s">
        <v>68</v>
      </c>
    </row>
    <row r="286" spans="1:17">
      <c r="A286" t="s">
        <v>451</v>
      </c>
      <c r="B286" s="2">
        <v>46245</v>
      </c>
      <c r="C286" t="s">
        <v>153</v>
      </c>
      <c r="D286" t="s">
        <v>44</v>
      </c>
      <c r="E286" t="s">
        <v>39</v>
      </c>
      <c r="F286" t="s">
        <v>51</v>
      </c>
      <c r="G286" s="3">
        <v>6</v>
      </c>
      <c r="H286">
        <v>250</v>
      </c>
      <c r="I286">
        <v>0.15</v>
      </c>
      <c r="J286">
        <v>100</v>
      </c>
      <c r="K286">
        <v>1500</v>
      </c>
      <c r="L286">
        <v>225</v>
      </c>
      <c r="M286">
        <v>600</v>
      </c>
      <c r="N286">
        <v>675</v>
      </c>
      <c r="O286" s="4">
        <v>0.45</v>
      </c>
      <c r="P286">
        <v>2026</v>
      </c>
      <c r="Q286" t="s">
        <v>71</v>
      </c>
    </row>
    <row r="287" spans="1:17">
      <c r="A287" t="s">
        <v>452</v>
      </c>
      <c r="B287" s="2">
        <v>45741</v>
      </c>
      <c r="C287" t="s">
        <v>228</v>
      </c>
      <c r="D287" t="s">
        <v>50</v>
      </c>
      <c r="E287" t="s">
        <v>45</v>
      </c>
      <c r="F287" t="s">
        <v>67</v>
      </c>
      <c r="G287" s="3">
        <v>4</v>
      </c>
      <c r="H287">
        <v>200</v>
      </c>
      <c r="I287">
        <v>0.1</v>
      </c>
      <c r="J287">
        <v>90</v>
      </c>
      <c r="K287">
        <v>800</v>
      </c>
      <c r="L287">
        <v>80</v>
      </c>
      <c r="M287">
        <v>360</v>
      </c>
      <c r="N287">
        <v>360</v>
      </c>
      <c r="O287" s="4">
        <v>0.45</v>
      </c>
      <c r="P287">
        <v>2025</v>
      </c>
      <c r="Q287" t="s">
        <v>57</v>
      </c>
    </row>
    <row r="288" spans="1:17">
      <c r="A288" t="s">
        <v>453</v>
      </c>
      <c r="B288" s="2">
        <v>46040</v>
      </c>
      <c r="C288" t="s">
        <v>124</v>
      </c>
      <c r="D288" t="s">
        <v>50</v>
      </c>
      <c r="E288" t="s">
        <v>45</v>
      </c>
      <c r="F288" t="s">
        <v>168</v>
      </c>
      <c r="G288" s="3">
        <v>8</v>
      </c>
      <c r="H288">
        <v>100</v>
      </c>
      <c r="I288">
        <v>0.15</v>
      </c>
      <c r="J288">
        <v>40</v>
      </c>
      <c r="K288">
        <v>800</v>
      </c>
      <c r="L288">
        <v>120</v>
      </c>
      <c r="M288">
        <v>320</v>
      </c>
      <c r="N288">
        <v>360</v>
      </c>
      <c r="O288" s="4">
        <v>0.45</v>
      </c>
      <c r="P288">
        <v>2026</v>
      </c>
      <c r="Q288" t="s">
        <v>47</v>
      </c>
    </row>
    <row r="289" spans="1:17">
      <c r="A289" t="s">
        <v>454</v>
      </c>
      <c r="B289" s="2">
        <v>45873</v>
      </c>
      <c r="C289" t="s">
        <v>376</v>
      </c>
      <c r="D289" t="s">
        <v>44</v>
      </c>
      <c r="E289" t="s">
        <v>45</v>
      </c>
      <c r="F289" t="s">
        <v>168</v>
      </c>
      <c r="G289" s="3">
        <v>5</v>
      </c>
      <c r="H289">
        <v>100</v>
      </c>
      <c r="I289">
        <v>0.1</v>
      </c>
      <c r="J289">
        <v>40</v>
      </c>
      <c r="K289">
        <v>500</v>
      </c>
      <c r="L289">
        <v>50</v>
      </c>
      <c r="M289">
        <v>200</v>
      </c>
      <c r="N289">
        <v>250</v>
      </c>
      <c r="O289" s="4">
        <v>0.5</v>
      </c>
      <c r="P289">
        <v>2025</v>
      </c>
      <c r="Q289" t="s">
        <v>71</v>
      </c>
    </row>
    <row r="290" spans="1:17">
      <c r="A290" t="s">
        <v>455</v>
      </c>
      <c r="B290" s="2">
        <v>45906</v>
      </c>
      <c r="C290" t="s">
        <v>148</v>
      </c>
      <c r="D290" t="s">
        <v>50</v>
      </c>
      <c r="E290" t="s">
        <v>45</v>
      </c>
      <c r="F290" t="s">
        <v>168</v>
      </c>
      <c r="G290" s="3">
        <v>8</v>
      </c>
      <c r="H290">
        <v>100</v>
      </c>
      <c r="I290">
        <v>0.15</v>
      </c>
      <c r="J290">
        <v>40</v>
      </c>
      <c r="K290">
        <v>800</v>
      </c>
      <c r="L290">
        <v>120</v>
      </c>
      <c r="M290">
        <v>320</v>
      </c>
      <c r="N290">
        <v>360</v>
      </c>
      <c r="O290" s="4">
        <v>0.45</v>
      </c>
      <c r="P290">
        <v>2025</v>
      </c>
      <c r="Q290" t="s">
        <v>41</v>
      </c>
    </row>
    <row r="291" spans="1:17">
      <c r="A291" t="s">
        <v>456</v>
      </c>
      <c r="B291" s="2">
        <v>45896</v>
      </c>
      <c r="C291" t="s">
        <v>213</v>
      </c>
      <c r="D291" t="s">
        <v>44</v>
      </c>
      <c r="E291" t="s">
        <v>39</v>
      </c>
      <c r="F291" t="s">
        <v>51</v>
      </c>
      <c r="G291" s="3">
        <v>8</v>
      </c>
      <c r="H291">
        <v>250</v>
      </c>
      <c r="I291">
        <v>0.15</v>
      </c>
      <c r="J291">
        <v>100</v>
      </c>
      <c r="K291">
        <v>2000</v>
      </c>
      <c r="L291">
        <v>300</v>
      </c>
      <c r="M291">
        <v>800</v>
      </c>
      <c r="N291">
        <v>900</v>
      </c>
      <c r="O291" s="4">
        <v>0.45</v>
      </c>
      <c r="P291">
        <v>2025</v>
      </c>
      <c r="Q291" t="s">
        <v>71</v>
      </c>
    </row>
    <row r="292" spans="1:17">
      <c r="A292" t="s">
        <v>457</v>
      </c>
      <c r="B292" s="2">
        <v>46049</v>
      </c>
      <c r="C292" t="s">
        <v>291</v>
      </c>
      <c r="D292" t="s">
        <v>50</v>
      </c>
      <c r="E292" t="s">
        <v>45</v>
      </c>
      <c r="F292" t="s">
        <v>67</v>
      </c>
      <c r="G292" s="3">
        <v>7</v>
      </c>
      <c r="H292">
        <v>200</v>
      </c>
      <c r="I292">
        <v>0.05</v>
      </c>
      <c r="J292">
        <v>90</v>
      </c>
      <c r="K292">
        <v>1400</v>
      </c>
      <c r="L292">
        <v>70</v>
      </c>
      <c r="M292">
        <v>630</v>
      </c>
      <c r="N292">
        <v>700</v>
      </c>
      <c r="O292" s="4">
        <v>0.5</v>
      </c>
      <c r="P292">
        <v>2026</v>
      </c>
      <c r="Q292" t="s">
        <v>47</v>
      </c>
    </row>
    <row r="293" spans="1:17">
      <c r="A293" t="s">
        <v>458</v>
      </c>
      <c r="B293" s="2">
        <v>46060</v>
      </c>
      <c r="C293" t="s">
        <v>277</v>
      </c>
      <c r="D293" t="s">
        <v>44</v>
      </c>
      <c r="E293" t="s">
        <v>45</v>
      </c>
      <c r="F293" t="s">
        <v>168</v>
      </c>
      <c r="G293" s="3">
        <v>6</v>
      </c>
      <c r="H293">
        <v>100</v>
      </c>
      <c r="I293">
        <v>0.1</v>
      </c>
      <c r="J293">
        <v>40</v>
      </c>
      <c r="K293">
        <v>600</v>
      </c>
      <c r="L293">
        <v>60</v>
      </c>
      <c r="M293">
        <v>240</v>
      </c>
      <c r="N293">
        <v>300</v>
      </c>
      <c r="O293" s="4">
        <v>0.5</v>
      </c>
      <c r="P293">
        <v>2026</v>
      </c>
      <c r="Q293" t="s">
        <v>87</v>
      </c>
    </row>
    <row r="294" spans="1:17">
      <c r="A294" t="s">
        <v>459</v>
      </c>
      <c r="B294" s="2">
        <v>45925</v>
      </c>
      <c r="C294" t="s">
        <v>381</v>
      </c>
      <c r="D294" t="s">
        <v>50</v>
      </c>
      <c r="E294" t="s">
        <v>39</v>
      </c>
      <c r="F294" t="s">
        <v>51</v>
      </c>
      <c r="G294" s="3">
        <v>1</v>
      </c>
      <c r="H294">
        <v>250</v>
      </c>
      <c r="I294">
        <v>0.05</v>
      </c>
      <c r="J294">
        <v>100</v>
      </c>
      <c r="K294">
        <v>250</v>
      </c>
      <c r="L294">
        <v>12.5</v>
      </c>
      <c r="M294">
        <v>100</v>
      </c>
      <c r="N294">
        <v>137.5</v>
      </c>
      <c r="O294" s="4">
        <v>0.55000000000000004</v>
      </c>
      <c r="P294">
        <v>2025</v>
      </c>
      <c r="Q294" t="s">
        <v>41</v>
      </c>
    </row>
    <row r="295" spans="1:17">
      <c r="A295" t="s">
        <v>460</v>
      </c>
      <c r="B295" s="2">
        <v>45659</v>
      </c>
      <c r="C295" t="s">
        <v>181</v>
      </c>
      <c r="D295" t="s">
        <v>55</v>
      </c>
      <c r="E295" t="s">
        <v>39</v>
      </c>
      <c r="F295" t="s">
        <v>64</v>
      </c>
      <c r="G295" s="3">
        <v>2</v>
      </c>
      <c r="H295">
        <v>2000</v>
      </c>
      <c r="I295">
        <v>0</v>
      </c>
      <c r="J295">
        <v>1200</v>
      </c>
      <c r="K295">
        <v>4000</v>
      </c>
      <c r="L295">
        <v>0</v>
      </c>
      <c r="M295">
        <v>2400</v>
      </c>
      <c r="N295">
        <v>1600</v>
      </c>
      <c r="O295" s="4">
        <v>0.4</v>
      </c>
      <c r="P295">
        <v>2025</v>
      </c>
      <c r="Q295" t="s">
        <v>47</v>
      </c>
    </row>
    <row r="296" spans="1:17">
      <c r="A296" t="s">
        <v>461</v>
      </c>
      <c r="B296" s="2">
        <v>45813</v>
      </c>
      <c r="C296" t="s">
        <v>92</v>
      </c>
      <c r="D296" t="s">
        <v>55</v>
      </c>
      <c r="E296" t="s">
        <v>59</v>
      </c>
      <c r="F296" t="s">
        <v>60</v>
      </c>
      <c r="G296" s="3">
        <v>2</v>
      </c>
      <c r="H296">
        <v>1500</v>
      </c>
      <c r="I296">
        <v>0.15</v>
      </c>
      <c r="J296">
        <v>900</v>
      </c>
      <c r="K296">
        <v>3000</v>
      </c>
      <c r="L296">
        <v>450</v>
      </c>
      <c r="M296">
        <v>1800</v>
      </c>
      <c r="N296">
        <v>750</v>
      </c>
      <c r="O296" s="4">
        <v>0.25</v>
      </c>
      <c r="P296">
        <v>2025</v>
      </c>
      <c r="Q296" t="s">
        <v>52</v>
      </c>
    </row>
    <row r="297" spans="1:17">
      <c r="A297" t="s">
        <v>462</v>
      </c>
      <c r="B297" s="2">
        <v>45831</v>
      </c>
      <c r="C297" t="s">
        <v>174</v>
      </c>
      <c r="D297" t="s">
        <v>38</v>
      </c>
      <c r="E297" t="s">
        <v>39</v>
      </c>
      <c r="F297" t="s">
        <v>56</v>
      </c>
      <c r="G297" s="3">
        <v>4</v>
      </c>
      <c r="H297">
        <v>800</v>
      </c>
      <c r="I297">
        <v>0.05</v>
      </c>
      <c r="J297">
        <v>450</v>
      </c>
      <c r="K297">
        <v>3200</v>
      </c>
      <c r="L297">
        <v>160</v>
      </c>
      <c r="M297">
        <v>1800</v>
      </c>
      <c r="N297">
        <v>1240</v>
      </c>
      <c r="O297" s="4">
        <v>0.38750000000000001</v>
      </c>
      <c r="P297">
        <v>2025</v>
      </c>
      <c r="Q297" t="s">
        <v>52</v>
      </c>
    </row>
    <row r="298" spans="1:17">
      <c r="A298" t="s">
        <v>463</v>
      </c>
      <c r="B298" s="2">
        <v>46175</v>
      </c>
      <c r="C298" t="s">
        <v>336</v>
      </c>
      <c r="D298" t="s">
        <v>38</v>
      </c>
      <c r="E298" t="s">
        <v>45</v>
      </c>
      <c r="F298" t="s">
        <v>67</v>
      </c>
      <c r="G298" s="3">
        <v>1</v>
      </c>
      <c r="H298">
        <v>200</v>
      </c>
      <c r="I298">
        <v>0</v>
      </c>
      <c r="J298">
        <v>90</v>
      </c>
      <c r="K298">
        <v>200</v>
      </c>
      <c r="L298">
        <v>0</v>
      </c>
      <c r="M298">
        <v>90</v>
      </c>
      <c r="N298">
        <v>110</v>
      </c>
      <c r="O298" s="4">
        <v>0.55000000000000004</v>
      </c>
      <c r="P298">
        <v>2026</v>
      </c>
      <c r="Q298" t="s">
        <v>52</v>
      </c>
    </row>
    <row r="299" spans="1:17">
      <c r="A299" t="s">
        <v>464</v>
      </c>
      <c r="B299" s="2">
        <v>45801</v>
      </c>
      <c r="C299" t="s">
        <v>73</v>
      </c>
      <c r="D299" t="s">
        <v>50</v>
      </c>
      <c r="E299" t="s">
        <v>45</v>
      </c>
      <c r="F299" t="s">
        <v>168</v>
      </c>
      <c r="G299" s="3">
        <v>1</v>
      </c>
      <c r="H299">
        <v>100</v>
      </c>
      <c r="I299">
        <v>0.15</v>
      </c>
      <c r="J299">
        <v>40</v>
      </c>
      <c r="K299">
        <v>100</v>
      </c>
      <c r="L299">
        <v>15</v>
      </c>
      <c r="M299">
        <v>40</v>
      </c>
      <c r="N299">
        <v>45</v>
      </c>
      <c r="O299" s="4">
        <v>0.45</v>
      </c>
      <c r="P299">
        <v>2025</v>
      </c>
      <c r="Q299" t="s">
        <v>145</v>
      </c>
    </row>
    <row r="300" spans="1:17">
      <c r="A300" t="s">
        <v>465</v>
      </c>
      <c r="B300" s="2">
        <v>45694</v>
      </c>
      <c r="C300" t="s">
        <v>317</v>
      </c>
      <c r="D300" t="s">
        <v>38</v>
      </c>
      <c r="E300" t="s">
        <v>59</v>
      </c>
      <c r="F300" t="s">
        <v>90</v>
      </c>
      <c r="G300" s="3">
        <v>2</v>
      </c>
      <c r="H300">
        <v>9000</v>
      </c>
      <c r="I300">
        <v>0.1</v>
      </c>
      <c r="J300">
        <v>6500</v>
      </c>
      <c r="K300">
        <v>18000</v>
      </c>
      <c r="L300">
        <v>1800</v>
      </c>
      <c r="M300">
        <v>13000</v>
      </c>
      <c r="N300">
        <v>3200</v>
      </c>
      <c r="O300" s="4">
        <v>0.17777777777777778</v>
      </c>
      <c r="P300">
        <v>2025</v>
      </c>
      <c r="Q300" t="s">
        <v>87</v>
      </c>
    </row>
    <row r="301" spans="1:17">
      <c r="A301" t="s">
        <v>466</v>
      </c>
      <c r="B301" s="2">
        <v>46290</v>
      </c>
      <c r="C301" t="s">
        <v>222</v>
      </c>
      <c r="D301" t="s">
        <v>50</v>
      </c>
      <c r="E301" t="s">
        <v>59</v>
      </c>
      <c r="F301" t="s">
        <v>158</v>
      </c>
      <c r="G301" s="3">
        <v>5</v>
      </c>
      <c r="H301">
        <v>500</v>
      </c>
      <c r="I301">
        <v>0.15</v>
      </c>
      <c r="J301">
        <v>250</v>
      </c>
      <c r="K301">
        <v>2500</v>
      </c>
      <c r="L301">
        <v>375</v>
      </c>
      <c r="M301">
        <v>1250</v>
      </c>
      <c r="N301">
        <v>875</v>
      </c>
      <c r="O301" s="4">
        <v>0.35</v>
      </c>
      <c r="P301">
        <v>2026</v>
      </c>
      <c r="Q301" t="s">
        <v>41</v>
      </c>
    </row>
    <row r="302" spans="1:17">
      <c r="A302" t="s">
        <v>467</v>
      </c>
      <c r="B302" s="2">
        <v>46072</v>
      </c>
      <c r="C302" t="s">
        <v>141</v>
      </c>
      <c r="D302" t="s">
        <v>50</v>
      </c>
      <c r="E302" t="s">
        <v>45</v>
      </c>
      <c r="F302" t="s">
        <v>168</v>
      </c>
      <c r="G302" s="3">
        <v>7</v>
      </c>
      <c r="H302">
        <v>100</v>
      </c>
      <c r="I302">
        <v>0.15</v>
      </c>
      <c r="J302">
        <v>40</v>
      </c>
      <c r="K302">
        <v>700</v>
      </c>
      <c r="L302">
        <v>105</v>
      </c>
      <c r="M302">
        <v>280</v>
      </c>
      <c r="N302">
        <v>315</v>
      </c>
      <c r="O302" s="4">
        <v>0.45</v>
      </c>
      <c r="P302">
        <v>2026</v>
      </c>
      <c r="Q302" t="s">
        <v>87</v>
      </c>
    </row>
    <row r="303" spans="1:17">
      <c r="A303" t="s">
        <v>468</v>
      </c>
      <c r="B303" s="2">
        <v>45981</v>
      </c>
      <c r="C303" t="s">
        <v>469</v>
      </c>
      <c r="D303" t="s">
        <v>38</v>
      </c>
      <c r="E303" t="s">
        <v>82</v>
      </c>
      <c r="F303" t="s">
        <v>83</v>
      </c>
      <c r="G303" s="3">
        <v>2</v>
      </c>
      <c r="H303">
        <v>3500</v>
      </c>
      <c r="I303">
        <v>0</v>
      </c>
      <c r="J303">
        <v>2200</v>
      </c>
      <c r="K303">
        <v>7000</v>
      </c>
      <c r="L303">
        <v>0</v>
      </c>
      <c r="M303">
        <v>4400</v>
      </c>
      <c r="N303">
        <v>2600</v>
      </c>
      <c r="O303" s="4">
        <v>0.37142857142857144</v>
      </c>
      <c r="P303">
        <v>2025</v>
      </c>
      <c r="Q303" t="s">
        <v>98</v>
      </c>
    </row>
    <row r="304" spans="1:17">
      <c r="A304" t="s">
        <v>470</v>
      </c>
      <c r="B304" s="2">
        <v>46179</v>
      </c>
      <c r="C304" t="s">
        <v>120</v>
      </c>
      <c r="D304" t="s">
        <v>38</v>
      </c>
      <c r="E304" t="s">
        <v>82</v>
      </c>
      <c r="F304" t="s">
        <v>128</v>
      </c>
      <c r="G304" s="3">
        <v>2</v>
      </c>
      <c r="H304">
        <v>6000</v>
      </c>
      <c r="I304">
        <v>0.05</v>
      </c>
      <c r="J304">
        <v>4000</v>
      </c>
      <c r="K304">
        <v>12000</v>
      </c>
      <c r="L304">
        <v>600</v>
      </c>
      <c r="M304">
        <v>8000</v>
      </c>
      <c r="N304">
        <v>3400</v>
      </c>
      <c r="O304" s="4">
        <v>0.28333333333333333</v>
      </c>
      <c r="P304">
        <v>2026</v>
      </c>
      <c r="Q304" t="s">
        <v>52</v>
      </c>
    </row>
    <row r="305" spans="1:17">
      <c r="A305" t="s">
        <v>471</v>
      </c>
      <c r="B305" s="2">
        <v>45704</v>
      </c>
      <c r="C305" t="s">
        <v>133</v>
      </c>
      <c r="D305" t="s">
        <v>38</v>
      </c>
      <c r="E305" t="s">
        <v>82</v>
      </c>
      <c r="F305" t="s">
        <v>101</v>
      </c>
      <c r="G305" s="3">
        <v>7</v>
      </c>
      <c r="H305">
        <v>4000</v>
      </c>
      <c r="I305">
        <v>0.1</v>
      </c>
      <c r="J305">
        <v>2700</v>
      </c>
      <c r="K305">
        <v>28000</v>
      </c>
      <c r="L305">
        <v>2800</v>
      </c>
      <c r="M305">
        <v>18900</v>
      </c>
      <c r="N305">
        <v>6300</v>
      </c>
      <c r="O305" s="4">
        <v>0.22500000000000001</v>
      </c>
      <c r="P305">
        <v>2025</v>
      </c>
      <c r="Q305" t="s">
        <v>87</v>
      </c>
    </row>
    <row r="306" spans="1:17">
      <c r="A306" t="s">
        <v>472</v>
      </c>
      <c r="B306" s="2">
        <v>46054</v>
      </c>
      <c r="C306" t="s">
        <v>213</v>
      </c>
      <c r="D306" t="s">
        <v>38</v>
      </c>
      <c r="E306" t="s">
        <v>82</v>
      </c>
      <c r="F306" t="s">
        <v>128</v>
      </c>
      <c r="G306" s="3">
        <v>8</v>
      </c>
      <c r="H306">
        <v>6000</v>
      </c>
      <c r="I306">
        <v>0.15</v>
      </c>
      <c r="J306">
        <v>4000</v>
      </c>
      <c r="K306">
        <v>48000</v>
      </c>
      <c r="L306">
        <v>7200</v>
      </c>
      <c r="M306">
        <v>32000</v>
      </c>
      <c r="N306">
        <v>8800</v>
      </c>
      <c r="O306" s="4">
        <v>0.18333333333333332</v>
      </c>
      <c r="P306">
        <v>2026</v>
      </c>
      <c r="Q306" t="s">
        <v>87</v>
      </c>
    </row>
    <row r="307" spans="1:17">
      <c r="A307" t="s">
        <v>473</v>
      </c>
      <c r="B307" s="2">
        <v>45908</v>
      </c>
      <c r="C307" t="s">
        <v>186</v>
      </c>
      <c r="D307" t="s">
        <v>50</v>
      </c>
      <c r="E307" t="s">
        <v>59</v>
      </c>
      <c r="F307" t="s">
        <v>158</v>
      </c>
      <c r="G307" s="3">
        <v>3</v>
      </c>
      <c r="H307">
        <v>500</v>
      </c>
      <c r="I307">
        <v>0</v>
      </c>
      <c r="J307">
        <v>250</v>
      </c>
      <c r="K307">
        <v>1500</v>
      </c>
      <c r="L307">
        <v>0</v>
      </c>
      <c r="M307">
        <v>750</v>
      </c>
      <c r="N307">
        <v>750</v>
      </c>
      <c r="O307" s="4">
        <v>0.5</v>
      </c>
      <c r="P307">
        <v>2025</v>
      </c>
      <c r="Q307" t="s">
        <v>41</v>
      </c>
    </row>
    <row r="308" spans="1:17">
      <c r="A308" t="s">
        <v>474</v>
      </c>
      <c r="B308" s="2">
        <v>46135</v>
      </c>
      <c r="C308" t="s">
        <v>257</v>
      </c>
      <c r="D308" t="s">
        <v>38</v>
      </c>
      <c r="E308" t="s">
        <v>59</v>
      </c>
      <c r="F308" t="s">
        <v>60</v>
      </c>
      <c r="G308" s="3">
        <v>5</v>
      </c>
      <c r="H308">
        <v>1500</v>
      </c>
      <c r="I308">
        <v>0.1</v>
      </c>
      <c r="J308">
        <v>900</v>
      </c>
      <c r="K308">
        <v>7500</v>
      </c>
      <c r="L308">
        <v>750</v>
      </c>
      <c r="M308">
        <v>4500</v>
      </c>
      <c r="N308">
        <v>2250</v>
      </c>
      <c r="O308" s="4">
        <v>0.3</v>
      </c>
      <c r="P308">
        <v>2026</v>
      </c>
      <c r="Q308" t="s">
        <v>79</v>
      </c>
    </row>
    <row r="309" spans="1:17">
      <c r="A309" t="s">
        <v>475</v>
      </c>
      <c r="B309" s="2">
        <v>45691</v>
      </c>
      <c r="C309" t="s">
        <v>476</v>
      </c>
      <c r="D309" t="s">
        <v>38</v>
      </c>
      <c r="E309" t="s">
        <v>45</v>
      </c>
      <c r="F309" t="s">
        <v>168</v>
      </c>
      <c r="G309" s="3">
        <v>5</v>
      </c>
      <c r="H309">
        <v>100</v>
      </c>
      <c r="I309">
        <v>0.1</v>
      </c>
      <c r="J309">
        <v>40</v>
      </c>
      <c r="K309">
        <v>500</v>
      </c>
      <c r="L309">
        <v>50</v>
      </c>
      <c r="M309">
        <v>200</v>
      </c>
      <c r="N309">
        <v>250</v>
      </c>
      <c r="O309" s="4">
        <v>0.5</v>
      </c>
      <c r="P309">
        <v>2025</v>
      </c>
      <c r="Q309" t="s">
        <v>87</v>
      </c>
    </row>
    <row r="310" spans="1:17">
      <c r="A310" t="s">
        <v>477</v>
      </c>
      <c r="B310" s="2">
        <v>45717</v>
      </c>
      <c r="C310" t="s">
        <v>298</v>
      </c>
      <c r="D310" t="s">
        <v>38</v>
      </c>
      <c r="E310" t="s">
        <v>82</v>
      </c>
      <c r="F310" t="s">
        <v>86</v>
      </c>
      <c r="G310" s="3">
        <v>3</v>
      </c>
      <c r="H310">
        <v>4500</v>
      </c>
      <c r="I310">
        <v>0.15</v>
      </c>
      <c r="J310">
        <v>3000</v>
      </c>
      <c r="K310">
        <v>13500</v>
      </c>
      <c r="L310">
        <v>2025</v>
      </c>
      <c r="M310">
        <v>9000</v>
      </c>
      <c r="N310">
        <v>2475</v>
      </c>
      <c r="O310" s="4">
        <v>0.18333333333333332</v>
      </c>
      <c r="P310">
        <v>2025</v>
      </c>
      <c r="Q310" t="s">
        <v>57</v>
      </c>
    </row>
    <row r="311" spans="1:17">
      <c r="A311" t="s">
        <v>478</v>
      </c>
      <c r="B311" s="2">
        <v>46000</v>
      </c>
      <c r="C311" t="s">
        <v>294</v>
      </c>
      <c r="D311" t="s">
        <v>50</v>
      </c>
      <c r="E311" t="s">
        <v>45</v>
      </c>
      <c r="F311" t="s">
        <v>168</v>
      </c>
      <c r="G311" s="3">
        <v>1</v>
      </c>
      <c r="H311">
        <v>100</v>
      </c>
      <c r="I311">
        <v>0.15</v>
      </c>
      <c r="J311">
        <v>40</v>
      </c>
      <c r="K311">
        <v>100</v>
      </c>
      <c r="L311">
        <v>15</v>
      </c>
      <c r="M311">
        <v>40</v>
      </c>
      <c r="N311">
        <v>45</v>
      </c>
      <c r="O311" s="4">
        <v>0.45</v>
      </c>
      <c r="P311">
        <v>2025</v>
      </c>
      <c r="Q311" t="s">
        <v>61</v>
      </c>
    </row>
    <row r="312" spans="1:17">
      <c r="A312" t="s">
        <v>479</v>
      </c>
      <c r="B312" s="2">
        <v>45823</v>
      </c>
      <c r="C312" t="s">
        <v>126</v>
      </c>
      <c r="D312" t="s">
        <v>44</v>
      </c>
      <c r="E312" t="s">
        <v>45</v>
      </c>
      <c r="F312" t="s">
        <v>46</v>
      </c>
      <c r="G312" s="3">
        <v>8</v>
      </c>
      <c r="H312">
        <v>300</v>
      </c>
      <c r="I312">
        <v>0.05</v>
      </c>
      <c r="J312">
        <v>180</v>
      </c>
      <c r="K312">
        <v>2400</v>
      </c>
      <c r="L312">
        <v>120</v>
      </c>
      <c r="M312">
        <v>1440</v>
      </c>
      <c r="N312">
        <v>840</v>
      </c>
      <c r="O312" s="4">
        <v>0.35</v>
      </c>
      <c r="P312">
        <v>2025</v>
      </c>
      <c r="Q312" t="s">
        <v>52</v>
      </c>
    </row>
    <row r="313" spans="1:17">
      <c r="A313" t="s">
        <v>480</v>
      </c>
      <c r="B313" s="2">
        <v>46081</v>
      </c>
      <c r="C313" t="s">
        <v>294</v>
      </c>
      <c r="D313" t="s">
        <v>55</v>
      </c>
      <c r="E313" t="s">
        <v>82</v>
      </c>
      <c r="F313" t="s">
        <v>83</v>
      </c>
      <c r="G313" s="3">
        <v>4</v>
      </c>
      <c r="H313">
        <v>3500</v>
      </c>
      <c r="I313">
        <v>0.15</v>
      </c>
      <c r="J313">
        <v>2200</v>
      </c>
      <c r="K313">
        <v>14000</v>
      </c>
      <c r="L313">
        <v>2100</v>
      </c>
      <c r="M313">
        <v>8800</v>
      </c>
      <c r="N313">
        <v>3100</v>
      </c>
      <c r="O313" s="4">
        <v>0.22142857142857142</v>
      </c>
      <c r="P313">
        <v>2026</v>
      </c>
      <c r="Q313" t="s">
        <v>87</v>
      </c>
    </row>
    <row r="314" spans="1:17">
      <c r="A314" t="s">
        <v>481</v>
      </c>
      <c r="B314" s="2">
        <v>46103</v>
      </c>
      <c r="C314" t="s">
        <v>122</v>
      </c>
      <c r="D314" t="s">
        <v>50</v>
      </c>
      <c r="E314" t="s">
        <v>39</v>
      </c>
      <c r="F314" t="s">
        <v>64</v>
      </c>
      <c r="G314" s="3">
        <v>3</v>
      </c>
      <c r="H314">
        <v>2000</v>
      </c>
      <c r="I314">
        <v>0</v>
      </c>
      <c r="J314">
        <v>1200</v>
      </c>
      <c r="K314">
        <v>6000</v>
      </c>
      <c r="L314">
        <v>0</v>
      </c>
      <c r="M314">
        <v>3600</v>
      </c>
      <c r="N314">
        <v>2400</v>
      </c>
      <c r="O314" s="4">
        <v>0.4</v>
      </c>
      <c r="P314">
        <v>2026</v>
      </c>
      <c r="Q314" t="s">
        <v>57</v>
      </c>
    </row>
    <row r="315" spans="1:17">
      <c r="A315" t="s">
        <v>482</v>
      </c>
      <c r="B315" s="2">
        <v>45907</v>
      </c>
      <c r="C315" t="s">
        <v>203</v>
      </c>
      <c r="D315" t="s">
        <v>50</v>
      </c>
      <c r="E315" t="s">
        <v>59</v>
      </c>
      <c r="F315" t="s">
        <v>90</v>
      </c>
      <c r="G315" s="3">
        <v>6</v>
      </c>
      <c r="H315">
        <v>9000</v>
      </c>
      <c r="I315">
        <v>0.15</v>
      </c>
      <c r="J315">
        <v>6500</v>
      </c>
      <c r="K315">
        <v>54000</v>
      </c>
      <c r="L315">
        <v>8100</v>
      </c>
      <c r="M315">
        <v>39000</v>
      </c>
      <c r="N315">
        <v>6900</v>
      </c>
      <c r="O315" s="4">
        <v>0.12777777777777777</v>
      </c>
      <c r="P315">
        <v>2025</v>
      </c>
      <c r="Q315" t="s">
        <v>41</v>
      </c>
    </row>
    <row r="316" spans="1:17">
      <c r="A316" t="s">
        <v>483</v>
      </c>
      <c r="B316" s="2">
        <v>46174</v>
      </c>
      <c r="C316" t="s">
        <v>183</v>
      </c>
      <c r="D316" t="s">
        <v>55</v>
      </c>
      <c r="E316" t="s">
        <v>59</v>
      </c>
      <c r="F316" t="s">
        <v>90</v>
      </c>
      <c r="G316" s="3">
        <v>5</v>
      </c>
      <c r="H316">
        <v>9000</v>
      </c>
      <c r="I316">
        <v>0.15</v>
      </c>
      <c r="J316">
        <v>6500</v>
      </c>
      <c r="K316">
        <v>45000</v>
      </c>
      <c r="L316">
        <v>6750</v>
      </c>
      <c r="M316">
        <v>32500</v>
      </c>
      <c r="N316">
        <v>5750</v>
      </c>
      <c r="O316" s="4">
        <v>0.12777777777777777</v>
      </c>
      <c r="P316">
        <v>2026</v>
      </c>
      <c r="Q316" t="s">
        <v>52</v>
      </c>
    </row>
    <row r="317" spans="1:17">
      <c r="A317" t="s">
        <v>484</v>
      </c>
      <c r="B317" s="2">
        <v>46111</v>
      </c>
      <c r="C317" t="s">
        <v>43</v>
      </c>
      <c r="D317" t="s">
        <v>55</v>
      </c>
      <c r="E317" t="s">
        <v>82</v>
      </c>
      <c r="F317" t="s">
        <v>128</v>
      </c>
      <c r="G317" s="3">
        <v>5</v>
      </c>
      <c r="H317">
        <v>6000</v>
      </c>
      <c r="I317">
        <v>0.15</v>
      </c>
      <c r="J317">
        <v>4000</v>
      </c>
      <c r="K317">
        <v>30000</v>
      </c>
      <c r="L317">
        <v>4500</v>
      </c>
      <c r="M317">
        <v>20000</v>
      </c>
      <c r="N317">
        <v>5500</v>
      </c>
      <c r="O317" s="4">
        <v>0.18333333333333332</v>
      </c>
      <c r="P317">
        <v>2026</v>
      </c>
      <c r="Q317" t="s">
        <v>57</v>
      </c>
    </row>
    <row r="318" spans="1:17">
      <c r="A318" t="s">
        <v>485</v>
      </c>
      <c r="B318" s="2">
        <v>45979</v>
      </c>
      <c r="C318" t="s">
        <v>54</v>
      </c>
      <c r="D318" t="s">
        <v>44</v>
      </c>
      <c r="E318" t="s">
        <v>59</v>
      </c>
      <c r="F318" t="s">
        <v>158</v>
      </c>
      <c r="G318" s="3">
        <v>8</v>
      </c>
      <c r="H318">
        <v>500</v>
      </c>
      <c r="I318">
        <v>0.05</v>
      </c>
      <c r="J318">
        <v>250</v>
      </c>
      <c r="K318">
        <v>4000</v>
      </c>
      <c r="L318">
        <v>200</v>
      </c>
      <c r="M318">
        <v>2000</v>
      </c>
      <c r="N318">
        <v>1800</v>
      </c>
      <c r="O318" s="4">
        <v>0.45</v>
      </c>
      <c r="P318">
        <v>2025</v>
      </c>
      <c r="Q318" t="s">
        <v>98</v>
      </c>
    </row>
    <row r="319" spans="1:17">
      <c r="A319" t="s">
        <v>486</v>
      </c>
      <c r="B319" s="2">
        <v>45741</v>
      </c>
      <c r="C319" t="s">
        <v>216</v>
      </c>
      <c r="D319" t="s">
        <v>38</v>
      </c>
      <c r="E319" t="s">
        <v>39</v>
      </c>
      <c r="F319" t="s">
        <v>64</v>
      </c>
      <c r="G319" s="3">
        <v>1</v>
      </c>
      <c r="H319">
        <v>2000</v>
      </c>
      <c r="I319">
        <v>0.15</v>
      </c>
      <c r="J319">
        <v>1200</v>
      </c>
      <c r="K319">
        <v>2000</v>
      </c>
      <c r="L319">
        <v>300</v>
      </c>
      <c r="M319">
        <v>1200</v>
      </c>
      <c r="N319">
        <v>500</v>
      </c>
      <c r="O319" s="4">
        <v>0.25</v>
      </c>
      <c r="P319">
        <v>2025</v>
      </c>
      <c r="Q319" t="s">
        <v>57</v>
      </c>
    </row>
    <row r="320" spans="1:17">
      <c r="A320" t="s">
        <v>487</v>
      </c>
      <c r="B320" s="2">
        <v>46187</v>
      </c>
      <c r="C320" t="s">
        <v>488</v>
      </c>
      <c r="D320" t="s">
        <v>44</v>
      </c>
      <c r="E320" t="s">
        <v>39</v>
      </c>
      <c r="F320" t="s">
        <v>64</v>
      </c>
      <c r="G320" s="3">
        <v>6</v>
      </c>
      <c r="H320">
        <v>2000</v>
      </c>
      <c r="I320">
        <v>0.1</v>
      </c>
      <c r="J320">
        <v>1200</v>
      </c>
      <c r="K320">
        <v>12000</v>
      </c>
      <c r="L320">
        <v>1200</v>
      </c>
      <c r="M320">
        <v>7200</v>
      </c>
      <c r="N320">
        <v>3600</v>
      </c>
      <c r="O320" s="4">
        <v>0.3</v>
      </c>
      <c r="P320">
        <v>2026</v>
      </c>
      <c r="Q320" t="s">
        <v>52</v>
      </c>
    </row>
    <row r="321" spans="1:17">
      <c r="A321" t="s">
        <v>489</v>
      </c>
      <c r="B321" s="2">
        <v>46218</v>
      </c>
      <c r="C321" t="s">
        <v>100</v>
      </c>
      <c r="D321" t="s">
        <v>44</v>
      </c>
      <c r="E321" t="s">
        <v>82</v>
      </c>
      <c r="F321" t="s">
        <v>86</v>
      </c>
      <c r="G321" s="3">
        <v>7</v>
      </c>
      <c r="H321">
        <v>4500</v>
      </c>
      <c r="I321">
        <v>0.05</v>
      </c>
      <c r="J321">
        <v>3000</v>
      </c>
      <c r="K321">
        <v>31500</v>
      </c>
      <c r="L321">
        <v>1575</v>
      </c>
      <c r="M321">
        <v>21000</v>
      </c>
      <c r="N321">
        <v>8925</v>
      </c>
      <c r="O321" s="4">
        <v>0.28333333333333333</v>
      </c>
      <c r="P321">
        <v>2026</v>
      </c>
      <c r="Q321" t="s">
        <v>68</v>
      </c>
    </row>
    <row r="322" spans="1:17">
      <c r="A322" t="s">
        <v>490</v>
      </c>
      <c r="B322" s="2">
        <v>45731</v>
      </c>
      <c r="C322" t="s">
        <v>70</v>
      </c>
      <c r="D322" t="s">
        <v>50</v>
      </c>
      <c r="E322" t="s">
        <v>59</v>
      </c>
      <c r="F322" t="s">
        <v>60</v>
      </c>
      <c r="G322" s="3">
        <v>3</v>
      </c>
      <c r="H322">
        <v>1500</v>
      </c>
      <c r="I322">
        <v>0.15</v>
      </c>
      <c r="J322">
        <v>900</v>
      </c>
      <c r="K322">
        <v>4500</v>
      </c>
      <c r="L322">
        <v>675</v>
      </c>
      <c r="M322">
        <v>2700</v>
      </c>
      <c r="N322">
        <v>1125</v>
      </c>
      <c r="O322" s="4">
        <v>0.25</v>
      </c>
      <c r="P322">
        <v>2025</v>
      </c>
      <c r="Q322" t="s">
        <v>57</v>
      </c>
    </row>
    <row r="323" spans="1:17">
      <c r="A323" t="s">
        <v>491</v>
      </c>
      <c r="B323" s="2">
        <v>46015</v>
      </c>
      <c r="C323" t="s">
        <v>277</v>
      </c>
      <c r="D323" t="s">
        <v>50</v>
      </c>
      <c r="E323" t="s">
        <v>82</v>
      </c>
      <c r="F323" t="s">
        <v>86</v>
      </c>
      <c r="G323" s="3">
        <v>4</v>
      </c>
      <c r="H323">
        <v>4500</v>
      </c>
      <c r="I323">
        <v>0</v>
      </c>
      <c r="J323">
        <v>3000</v>
      </c>
      <c r="K323">
        <v>18000</v>
      </c>
      <c r="L323">
        <v>0</v>
      </c>
      <c r="M323">
        <v>12000</v>
      </c>
      <c r="N323">
        <v>6000</v>
      </c>
      <c r="O323" s="4">
        <v>0.33333333333333331</v>
      </c>
      <c r="P323">
        <v>2025</v>
      </c>
      <c r="Q323" t="s">
        <v>61</v>
      </c>
    </row>
    <row r="324" spans="1:17">
      <c r="A324" t="s">
        <v>492</v>
      </c>
      <c r="B324" s="2">
        <v>46090</v>
      </c>
      <c r="C324" t="s">
        <v>232</v>
      </c>
      <c r="D324" t="s">
        <v>38</v>
      </c>
      <c r="E324" t="s">
        <v>59</v>
      </c>
      <c r="F324" t="s">
        <v>77</v>
      </c>
      <c r="G324" s="3">
        <v>1</v>
      </c>
      <c r="H324">
        <v>1200</v>
      </c>
      <c r="I324">
        <v>0.15</v>
      </c>
      <c r="J324">
        <v>750</v>
      </c>
      <c r="K324">
        <v>1200</v>
      </c>
      <c r="L324">
        <v>180</v>
      </c>
      <c r="M324">
        <v>750</v>
      </c>
      <c r="N324">
        <v>270</v>
      </c>
      <c r="O324" s="4">
        <v>0.22500000000000001</v>
      </c>
      <c r="P324">
        <v>2026</v>
      </c>
      <c r="Q324" t="s">
        <v>57</v>
      </c>
    </row>
    <row r="325" spans="1:17">
      <c r="A325" t="s">
        <v>493</v>
      </c>
      <c r="B325" s="2">
        <v>46222</v>
      </c>
      <c r="C325" t="s">
        <v>286</v>
      </c>
      <c r="D325" t="s">
        <v>55</v>
      </c>
      <c r="E325" t="s">
        <v>82</v>
      </c>
      <c r="F325" t="s">
        <v>83</v>
      </c>
      <c r="G325" s="3">
        <v>4</v>
      </c>
      <c r="H325">
        <v>3500</v>
      </c>
      <c r="I325">
        <v>0</v>
      </c>
      <c r="J325">
        <v>2200</v>
      </c>
      <c r="K325">
        <v>14000</v>
      </c>
      <c r="L325">
        <v>0</v>
      </c>
      <c r="M325">
        <v>8800</v>
      </c>
      <c r="N325">
        <v>5200</v>
      </c>
      <c r="O325" s="4">
        <v>0.37142857142857144</v>
      </c>
      <c r="P325">
        <v>2026</v>
      </c>
      <c r="Q325" t="s">
        <v>68</v>
      </c>
    </row>
    <row r="326" spans="1:17">
      <c r="A326" t="s">
        <v>494</v>
      </c>
      <c r="B326" s="2">
        <v>45905</v>
      </c>
      <c r="C326" t="s">
        <v>63</v>
      </c>
      <c r="D326" t="s">
        <v>38</v>
      </c>
      <c r="E326" t="s">
        <v>45</v>
      </c>
      <c r="F326" t="s">
        <v>67</v>
      </c>
      <c r="G326" s="3">
        <v>8</v>
      </c>
      <c r="H326">
        <v>200</v>
      </c>
      <c r="I326">
        <v>0.15</v>
      </c>
      <c r="J326">
        <v>90</v>
      </c>
      <c r="K326">
        <v>1600</v>
      </c>
      <c r="L326">
        <v>240</v>
      </c>
      <c r="M326">
        <v>720</v>
      </c>
      <c r="N326">
        <v>640</v>
      </c>
      <c r="O326" s="4">
        <v>0.4</v>
      </c>
      <c r="P326">
        <v>2025</v>
      </c>
      <c r="Q326" t="s">
        <v>41</v>
      </c>
    </row>
    <row r="327" spans="1:17">
      <c r="A327" t="s">
        <v>495</v>
      </c>
      <c r="B327" s="2">
        <v>46163</v>
      </c>
      <c r="C327" t="s">
        <v>244</v>
      </c>
      <c r="D327" t="s">
        <v>44</v>
      </c>
      <c r="E327" t="s">
        <v>59</v>
      </c>
      <c r="F327" t="s">
        <v>158</v>
      </c>
      <c r="G327" s="3">
        <v>6</v>
      </c>
      <c r="H327">
        <v>500</v>
      </c>
      <c r="I327">
        <v>0.1</v>
      </c>
      <c r="J327">
        <v>250</v>
      </c>
      <c r="K327">
        <v>3000</v>
      </c>
      <c r="L327">
        <v>300</v>
      </c>
      <c r="M327">
        <v>1500</v>
      </c>
      <c r="N327">
        <v>1200</v>
      </c>
      <c r="O327" s="4">
        <v>0.4</v>
      </c>
      <c r="P327">
        <v>2026</v>
      </c>
      <c r="Q327" t="s">
        <v>145</v>
      </c>
    </row>
    <row r="328" spans="1:17">
      <c r="A328" t="s">
        <v>496</v>
      </c>
      <c r="B328" s="2">
        <v>45758</v>
      </c>
      <c r="C328" t="s">
        <v>54</v>
      </c>
      <c r="D328" t="s">
        <v>38</v>
      </c>
      <c r="E328" t="s">
        <v>39</v>
      </c>
      <c r="F328" t="s">
        <v>51</v>
      </c>
      <c r="G328" s="3">
        <v>7</v>
      </c>
      <c r="H328">
        <v>250</v>
      </c>
      <c r="I328">
        <v>0.15</v>
      </c>
      <c r="J328">
        <v>100</v>
      </c>
      <c r="K328">
        <v>1750</v>
      </c>
      <c r="L328">
        <v>262.5</v>
      </c>
      <c r="M328">
        <v>700</v>
      </c>
      <c r="N328">
        <v>787.5</v>
      </c>
      <c r="O328" s="4">
        <v>0.45</v>
      </c>
      <c r="P328">
        <v>2025</v>
      </c>
      <c r="Q328" t="s">
        <v>79</v>
      </c>
    </row>
    <row r="329" spans="1:17">
      <c r="A329" t="s">
        <v>497</v>
      </c>
      <c r="B329" s="2">
        <v>45837</v>
      </c>
      <c r="C329" t="s">
        <v>143</v>
      </c>
      <c r="D329" t="s">
        <v>44</v>
      </c>
      <c r="E329" t="s">
        <v>45</v>
      </c>
      <c r="F329" t="s">
        <v>67</v>
      </c>
      <c r="G329" s="3">
        <v>6</v>
      </c>
      <c r="H329">
        <v>200</v>
      </c>
      <c r="I329">
        <v>0.1</v>
      </c>
      <c r="J329">
        <v>90</v>
      </c>
      <c r="K329">
        <v>1200</v>
      </c>
      <c r="L329">
        <v>120</v>
      </c>
      <c r="M329">
        <v>540</v>
      </c>
      <c r="N329">
        <v>540</v>
      </c>
      <c r="O329" s="4">
        <v>0.45</v>
      </c>
      <c r="P329">
        <v>2025</v>
      </c>
      <c r="Q329" t="s">
        <v>52</v>
      </c>
    </row>
    <row r="330" spans="1:17">
      <c r="A330" t="s">
        <v>498</v>
      </c>
      <c r="B330" s="2">
        <v>46114</v>
      </c>
      <c r="C330" t="s">
        <v>369</v>
      </c>
      <c r="D330" t="s">
        <v>55</v>
      </c>
      <c r="E330" t="s">
        <v>45</v>
      </c>
      <c r="F330" t="s">
        <v>67</v>
      </c>
      <c r="G330" s="3">
        <v>3</v>
      </c>
      <c r="H330">
        <v>200</v>
      </c>
      <c r="I330">
        <v>0</v>
      </c>
      <c r="J330">
        <v>90</v>
      </c>
      <c r="K330">
        <v>600</v>
      </c>
      <c r="L330">
        <v>0</v>
      </c>
      <c r="M330">
        <v>270</v>
      </c>
      <c r="N330">
        <v>330</v>
      </c>
      <c r="O330" s="4">
        <v>0.55000000000000004</v>
      </c>
      <c r="P330">
        <v>2026</v>
      </c>
      <c r="Q330" t="s">
        <v>79</v>
      </c>
    </row>
    <row r="331" spans="1:17">
      <c r="A331" t="s">
        <v>499</v>
      </c>
      <c r="B331" s="2">
        <v>45732</v>
      </c>
      <c r="C331" t="s">
        <v>244</v>
      </c>
      <c r="D331" t="s">
        <v>44</v>
      </c>
      <c r="E331" t="s">
        <v>39</v>
      </c>
      <c r="F331" t="s">
        <v>51</v>
      </c>
      <c r="G331" s="3">
        <v>3</v>
      </c>
      <c r="H331">
        <v>250</v>
      </c>
      <c r="I331">
        <v>0.15</v>
      </c>
      <c r="J331">
        <v>100</v>
      </c>
      <c r="K331">
        <v>750</v>
      </c>
      <c r="L331">
        <v>112.5</v>
      </c>
      <c r="M331">
        <v>300</v>
      </c>
      <c r="N331">
        <v>337.5</v>
      </c>
      <c r="O331" s="4">
        <v>0.45</v>
      </c>
      <c r="P331">
        <v>2025</v>
      </c>
      <c r="Q331" t="s">
        <v>57</v>
      </c>
    </row>
    <row r="332" spans="1:17">
      <c r="A332" t="s">
        <v>500</v>
      </c>
      <c r="B332" s="2">
        <v>45835</v>
      </c>
      <c r="C332" t="s">
        <v>266</v>
      </c>
      <c r="D332" t="s">
        <v>55</v>
      </c>
      <c r="E332" t="s">
        <v>82</v>
      </c>
      <c r="F332" t="s">
        <v>128</v>
      </c>
      <c r="G332" s="3">
        <v>5</v>
      </c>
      <c r="H332">
        <v>6000</v>
      </c>
      <c r="I332">
        <v>0.1</v>
      </c>
      <c r="J332">
        <v>4000</v>
      </c>
      <c r="K332">
        <v>30000</v>
      </c>
      <c r="L332">
        <v>3000</v>
      </c>
      <c r="M332">
        <v>20000</v>
      </c>
      <c r="N332">
        <v>7000</v>
      </c>
      <c r="O332" s="4">
        <v>0.23333333333333334</v>
      </c>
      <c r="P332">
        <v>2025</v>
      </c>
      <c r="Q332" t="s">
        <v>52</v>
      </c>
    </row>
    <row r="333" spans="1:17">
      <c r="A333" t="s">
        <v>501</v>
      </c>
      <c r="B333" s="2">
        <v>46079</v>
      </c>
      <c r="C333" t="s">
        <v>418</v>
      </c>
      <c r="D333" t="s">
        <v>44</v>
      </c>
      <c r="E333" t="s">
        <v>39</v>
      </c>
      <c r="F333" t="s">
        <v>64</v>
      </c>
      <c r="G333" s="3">
        <v>1</v>
      </c>
      <c r="H333">
        <v>2000</v>
      </c>
      <c r="I333">
        <v>0.1</v>
      </c>
      <c r="J333">
        <v>1200</v>
      </c>
      <c r="K333">
        <v>2000</v>
      </c>
      <c r="L333">
        <v>200</v>
      </c>
      <c r="M333">
        <v>1200</v>
      </c>
      <c r="N333">
        <v>600</v>
      </c>
      <c r="O333" s="4">
        <v>0.3</v>
      </c>
      <c r="P333">
        <v>2026</v>
      </c>
      <c r="Q333" t="s">
        <v>87</v>
      </c>
    </row>
    <row r="334" spans="1:17">
      <c r="A334" t="s">
        <v>502</v>
      </c>
      <c r="B334" s="2">
        <v>46279</v>
      </c>
      <c r="C334" t="s">
        <v>298</v>
      </c>
      <c r="D334" t="s">
        <v>50</v>
      </c>
      <c r="E334" t="s">
        <v>59</v>
      </c>
      <c r="F334" t="s">
        <v>90</v>
      </c>
      <c r="G334" s="3">
        <v>7</v>
      </c>
      <c r="H334">
        <v>9000</v>
      </c>
      <c r="I334">
        <v>0.1</v>
      </c>
      <c r="J334">
        <v>6500</v>
      </c>
      <c r="K334">
        <v>63000</v>
      </c>
      <c r="L334">
        <v>6300</v>
      </c>
      <c r="M334">
        <v>45500</v>
      </c>
      <c r="N334">
        <v>11200</v>
      </c>
      <c r="O334" s="4">
        <v>0.17777777777777778</v>
      </c>
      <c r="P334">
        <v>2026</v>
      </c>
      <c r="Q334" t="s">
        <v>41</v>
      </c>
    </row>
    <row r="335" spans="1:17">
      <c r="A335" t="s">
        <v>503</v>
      </c>
      <c r="B335" s="2">
        <v>46233</v>
      </c>
      <c r="C335" t="s">
        <v>415</v>
      </c>
      <c r="D335" t="s">
        <v>38</v>
      </c>
      <c r="E335" t="s">
        <v>82</v>
      </c>
      <c r="F335" t="s">
        <v>86</v>
      </c>
      <c r="G335" s="3">
        <v>4</v>
      </c>
      <c r="H335">
        <v>4500</v>
      </c>
      <c r="I335">
        <v>0.05</v>
      </c>
      <c r="J335">
        <v>3000</v>
      </c>
      <c r="K335">
        <v>18000</v>
      </c>
      <c r="L335">
        <v>900</v>
      </c>
      <c r="M335">
        <v>12000</v>
      </c>
      <c r="N335">
        <v>5100</v>
      </c>
      <c r="O335" s="4">
        <v>0.28333333333333333</v>
      </c>
      <c r="P335">
        <v>2026</v>
      </c>
      <c r="Q335" t="s">
        <v>68</v>
      </c>
    </row>
    <row r="336" spans="1:17">
      <c r="A336" t="s">
        <v>504</v>
      </c>
      <c r="B336" s="2">
        <v>45896</v>
      </c>
      <c r="C336" t="s">
        <v>183</v>
      </c>
      <c r="D336" t="s">
        <v>38</v>
      </c>
      <c r="E336" t="s">
        <v>59</v>
      </c>
      <c r="F336" t="s">
        <v>158</v>
      </c>
      <c r="G336" s="3">
        <v>2</v>
      </c>
      <c r="H336">
        <v>500</v>
      </c>
      <c r="I336">
        <v>0</v>
      </c>
      <c r="J336">
        <v>250</v>
      </c>
      <c r="K336">
        <v>1000</v>
      </c>
      <c r="L336">
        <v>0</v>
      </c>
      <c r="M336">
        <v>500</v>
      </c>
      <c r="N336">
        <v>500</v>
      </c>
      <c r="O336" s="4">
        <v>0.5</v>
      </c>
      <c r="P336">
        <v>2025</v>
      </c>
      <c r="Q336" t="s">
        <v>71</v>
      </c>
    </row>
    <row r="337" spans="1:17">
      <c r="A337" t="s">
        <v>505</v>
      </c>
      <c r="B337" s="2">
        <v>46127</v>
      </c>
      <c r="C337" t="s">
        <v>73</v>
      </c>
      <c r="D337" t="s">
        <v>55</v>
      </c>
      <c r="E337" t="s">
        <v>45</v>
      </c>
      <c r="F337" t="s">
        <v>95</v>
      </c>
      <c r="G337" s="3">
        <v>1</v>
      </c>
      <c r="H337">
        <v>150</v>
      </c>
      <c r="I337">
        <v>0.15</v>
      </c>
      <c r="J337">
        <v>60</v>
      </c>
      <c r="K337">
        <v>150</v>
      </c>
      <c r="L337">
        <v>22.5</v>
      </c>
      <c r="M337">
        <v>60</v>
      </c>
      <c r="N337">
        <v>67.5</v>
      </c>
      <c r="O337" s="4">
        <v>0.45</v>
      </c>
      <c r="P337">
        <v>2026</v>
      </c>
      <c r="Q337" t="s">
        <v>79</v>
      </c>
    </row>
    <row r="338" spans="1:17">
      <c r="A338" t="s">
        <v>506</v>
      </c>
      <c r="B338" s="2">
        <v>45715</v>
      </c>
      <c r="C338" t="s">
        <v>49</v>
      </c>
      <c r="D338" t="s">
        <v>50</v>
      </c>
      <c r="E338" t="s">
        <v>39</v>
      </c>
      <c r="F338" t="s">
        <v>56</v>
      </c>
      <c r="G338" s="3">
        <v>2</v>
      </c>
      <c r="H338">
        <v>800</v>
      </c>
      <c r="I338">
        <v>0.05</v>
      </c>
      <c r="J338">
        <v>450</v>
      </c>
      <c r="K338">
        <v>1600</v>
      </c>
      <c r="L338">
        <v>80</v>
      </c>
      <c r="M338">
        <v>900</v>
      </c>
      <c r="N338">
        <v>620</v>
      </c>
      <c r="O338" s="4">
        <v>0.38750000000000001</v>
      </c>
      <c r="P338">
        <v>2025</v>
      </c>
      <c r="Q338" t="s">
        <v>87</v>
      </c>
    </row>
    <row r="339" spans="1:17">
      <c r="A339" t="s">
        <v>507</v>
      </c>
      <c r="B339" s="2">
        <v>46195</v>
      </c>
      <c r="C339" t="s">
        <v>317</v>
      </c>
      <c r="D339" t="s">
        <v>44</v>
      </c>
      <c r="E339" t="s">
        <v>45</v>
      </c>
      <c r="F339" t="s">
        <v>46</v>
      </c>
      <c r="G339" s="3">
        <v>8</v>
      </c>
      <c r="H339">
        <v>300</v>
      </c>
      <c r="I339">
        <v>0.05</v>
      </c>
      <c r="J339">
        <v>180</v>
      </c>
      <c r="K339">
        <v>2400</v>
      </c>
      <c r="L339">
        <v>120</v>
      </c>
      <c r="M339">
        <v>1440</v>
      </c>
      <c r="N339">
        <v>840</v>
      </c>
      <c r="O339" s="4">
        <v>0.35</v>
      </c>
      <c r="P339">
        <v>2026</v>
      </c>
      <c r="Q339" t="s">
        <v>52</v>
      </c>
    </row>
    <row r="340" spans="1:17">
      <c r="A340" t="s">
        <v>508</v>
      </c>
      <c r="B340" s="2">
        <v>45964</v>
      </c>
      <c r="C340" t="s">
        <v>381</v>
      </c>
      <c r="D340" t="s">
        <v>44</v>
      </c>
      <c r="E340" t="s">
        <v>39</v>
      </c>
      <c r="F340" t="s">
        <v>51</v>
      </c>
      <c r="G340" s="3">
        <v>8</v>
      </c>
      <c r="H340">
        <v>250</v>
      </c>
      <c r="I340">
        <v>0</v>
      </c>
      <c r="J340">
        <v>100</v>
      </c>
      <c r="K340">
        <v>2000</v>
      </c>
      <c r="L340">
        <v>0</v>
      </c>
      <c r="M340">
        <v>800</v>
      </c>
      <c r="N340">
        <v>1200</v>
      </c>
      <c r="O340" s="4">
        <v>0.6</v>
      </c>
      <c r="P340">
        <v>2025</v>
      </c>
      <c r="Q340" t="s">
        <v>98</v>
      </c>
    </row>
    <row r="341" spans="1:17">
      <c r="A341" t="s">
        <v>509</v>
      </c>
      <c r="B341" s="2">
        <v>45990</v>
      </c>
      <c r="C341" t="s">
        <v>117</v>
      </c>
      <c r="D341" t="s">
        <v>38</v>
      </c>
      <c r="E341" t="s">
        <v>39</v>
      </c>
      <c r="F341" t="s">
        <v>40</v>
      </c>
      <c r="G341" s="3">
        <v>7</v>
      </c>
      <c r="H341">
        <v>700</v>
      </c>
      <c r="I341">
        <v>0</v>
      </c>
      <c r="J341">
        <v>400</v>
      </c>
      <c r="K341">
        <v>4900</v>
      </c>
      <c r="L341">
        <v>0</v>
      </c>
      <c r="M341">
        <v>2800</v>
      </c>
      <c r="N341">
        <v>2100</v>
      </c>
      <c r="O341" s="4">
        <v>0.42857142857142855</v>
      </c>
      <c r="P341">
        <v>2025</v>
      </c>
      <c r="Q341" t="s">
        <v>98</v>
      </c>
    </row>
    <row r="342" spans="1:17">
      <c r="A342" t="s">
        <v>510</v>
      </c>
      <c r="B342" s="2">
        <v>45903</v>
      </c>
      <c r="C342" t="s">
        <v>153</v>
      </c>
      <c r="D342" t="s">
        <v>50</v>
      </c>
      <c r="E342" t="s">
        <v>45</v>
      </c>
      <c r="F342" t="s">
        <v>95</v>
      </c>
      <c r="G342" s="3">
        <v>4</v>
      </c>
      <c r="H342">
        <v>150</v>
      </c>
      <c r="I342">
        <v>0.05</v>
      </c>
      <c r="J342">
        <v>60</v>
      </c>
      <c r="K342">
        <v>600</v>
      </c>
      <c r="L342">
        <v>30</v>
      </c>
      <c r="M342">
        <v>240</v>
      </c>
      <c r="N342">
        <v>330</v>
      </c>
      <c r="O342" s="4">
        <v>0.55000000000000004</v>
      </c>
      <c r="P342">
        <v>2025</v>
      </c>
      <c r="Q342" t="s">
        <v>41</v>
      </c>
    </row>
    <row r="343" spans="1:17">
      <c r="A343" t="s">
        <v>511</v>
      </c>
      <c r="B343" s="2">
        <v>46079</v>
      </c>
      <c r="C343" t="s">
        <v>189</v>
      </c>
      <c r="D343" t="s">
        <v>50</v>
      </c>
      <c r="E343" t="s">
        <v>59</v>
      </c>
      <c r="F343" t="s">
        <v>90</v>
      </c>
      <c r="G343" s="3">
        <v>4</v>
      </c>
      <c r="H343">
        <v>9000</v>
      </c>
      <c r="I343">
        <v>0.1</v>
      </c>
      <c r="J343">
        <v>6500</v>
      </c>
      <c r="K343">
        <v>36000</v>
      </c>
      <c r="L343">
        <v>3600</v>
      </c>
      <c r="M343">
        <v>26000</v>
      </c>
      <c r="N343">
        <v>6400</v>
      </c>
      <c r="O343" s="4">
        <v>0.17777777777777778</v>
      </c>
      <c r="P343">
        <v>2026</v>
      </c>
      <c r="Q343" t="s">
        <v>87</v>
      </c>
    </row>
    <row r="344" spans="1:17">
      <c r="A344" t="s">
        <v>512</v>
      </c>
      <c r="B344" s="2">
        <v>46013</v>
      </c>
      <c r="C344" t="s">
        <v>193</v>
      </c>
      <c r="D344" t="s">
        <v>44</v>
      </c>
      <c r="E344" t="s">
        <v>59</v>
      </c>
      <c r="F344" t="s">
        <v>158</v>
      </c>
      <c r="G344" s="3">
        <v>1</v>
      </c>
      <c r="H344">
        <v>500</v>
      </c>
      <c r="I344">
        <v>0.1</v>
      </c>
      <c r="J344">
        <v>250</v>
      </c>
      <c r="K344">
        <v>500</v>
      </c>
      <c r="L344">
        <v>50</v>
      </c>
      <c r="M344">
        <v>250</v>
      </c>
      <c r="N344">
        <v>200</v>
      </c>
      <c r="O344" s="4">
        <v>0.4</v>
      </c>
      <c r="P344">
        <v>2025</v>
      </c>
      <c r="Q344" t="s">
        <v>61</v>
      </c>
    </row>
    <row r="345" spans="1:17">
      <c r="A345" t="s">
        <v>513</v>
      </c>
      <c r="B345" s="2">
        <v>46308</v>
      </c>
      <c r="C345" t="s">
        <v>514</v>
      </c>
      <c r="D345" t="s">
        <v>50</v>
      </c>
      <c r="E345" t="s">
        <v>82</v>
      </c>
      <c r="F345" t="s">
        <v>128</v>
      </c>
      <c r="G345" s="3">
        <v>8</v>
      </c>
      <c r="H345">
        <v>6000</v>
      </c>
      <c r="I345">
        <v>0</v>
      </c>
      <c r="J345">
        <v>4000</v>
      </c>
      <c r="K345">
        <v>48000</v>
      </c>
      <c r="L345">
        <v>0</v>
      </c>
      <c r="M345">
        <v>32000</v>
      </c>
      <c r="N345">
        <v>16000</v>
      </c>
      <c r="O345" s="4">
        <v>0.33333333333333331</v>
      </c>
      <c r="P345">
        <v>2026</v>
      </c>
      <c r="Q345" t="s">
        <v>74</v>
      </c>
    </row>
    <row r="346" spans="1:17">
      <c r="A346" t="s">
        <v>515</v>
      </c>
      <c r="B346" s="2">
        <v>45791</v>
      </c>
      <c r="C346" t="s">
        <v>124</v>
      </c>
      <c r="D346" t="s">
        <v>55</v>
      </c>
      <c r="E346" t="s">
        <v>45</v>
      </c>
      <c r="F346" t="s">
        <v>67</v>
      </c>
      <c r="G346" s="3">
        <v>2</v>
      </c>
      <c r="H346">
        <v>200</v>
      </c>
      <c r="I346">
        <v>0</v>
      </c>
      <c r="J346">
        <v>90</v>
      </c>
      <c r="K346">
        <v>400</v>
      </c>
      <c r="L346">
        <v>0</v>
      </c>
      <c r="M346">
        <v>180</v>
      </c>
      <c r="N346">
        <v>220</v>
      </c>
      <c r="O346" s="4">
        <v>0.55000000000000004</v>
      </c>
      <c r="P346">
        <v>2025</v>
      </c>
      <c r="Q346" t="s">
        <v>145</v>
      </c>
    </row>
    <row r="347" spans="1:17">
      <c r="A347" t="s">
        <v>516</v>
      </c>
      <c r="B347" s="2">
        <v>46352</v>
      </c>
      <c r="C347" t="s">
        <v>193</v>
      </c>
      <c r="D347" t="s">
        <v>55</v>
      </c>
      <c r="E347" t="s">
        <v>59</v>
      </c>
      <c r="F347" t="s">
        <v>77</v>
      </c>
      <c r="G347" s="3">
        <v>5</v>
      </c>
      <c r="H347">
        <v>1200</v>
      </c>
      <c r="I347">
        <v>0.15</v>
      </c>
      <c r="J347">
        <v>750</v>
      </c>
      <c r="K347">
        <v>6000</v>
      </c>
      <c r="L347">
        <v>900</v>
      </c>
      <c r="M347">
        <v>3750</v>
      </c>
      <c r="N347">
        <v>1350</v>
      </c>
      <c r="O347" s="4">
        <v>0.22500000000000001</v>
      </c>
      <c r="P347">
        <v>2026</v>
      </c>
      <c r="Q347" t="s">
        <v>98</v>
      </c>
    </row>
    <row r="348" spans="1:17">
      <c r="A348" t="s">
        <v>517</v>
      </c>
      <c r="B348" s="2">
        <v>46173</v>
      </c>
      <c r="C348" t="s">
        <v>183</v>
      </c>
      <c r="D348" t="s">
        <v>38</v>
      </c>
      <c r="E348" t="s">
        <v>82</v>
      </c>
      <c r="F348" t="s">
        <v>101</v>
      </c>
      <c r="G348" s="3">
        <v>5</v>
      </c>
      <c r="H348">
        <v>4000</v>
      </c>
      <c r="I348">
        <v>0.05</v>
      </c>
      <c r="J348">
        <v>2700</v>
      </c>
      <c r="K348">
        <v>20000</v>
      </c>
      <c r="L348">
        <v>1000</v>
      </c>
      <c r="M348">
        <v>13500</v>
      </c>
      <c r="N348">
        <v>5500</v>
      </c>
      <c r="O348" s="4">
        <v>0.27500000000000002</v>
      </c>
      <c r="P348">
        <v>2026</v>
      </c>
      <c r="Q348" t="s">
        <v>145</v>
      </c>
    </row>
    <row r="349" spans="1:17">
      <c r="A349" t="s">
        <v>518</v>
      </c>
      <c r="B349" s="2">
        <v>46247</v>
      </c>
      <c r="C349" t="s">
        <v>341</v>
      </c>
      <c r="D349" t="s">
        <v>50</v>
      </c>
      <c r="E349" t="s">
        <v>39</v>
      </c>
      <c r="F349" t="s">
        <v>51</v>
      </c>
      <c r="G349" s="3">
        <v>1</v>
      </c>
      <c r="H349">
        <v>250</v>
      </c>
      <c r="I349">
        <v>0.05</v>
      </c>
      <c r="J349">
        <v>100</v>
      </c>
      <c r="K349">
        <v>250</v>
      </c>
      <c r="L349">
        <v>12.5</v>
      </c>
      <c r="M349">
        <v>100</v>
      </c>
      <c r="N349">
        <v>137.5</v>
      </c>
      <c r="O349" s="4">
        <v>0.55000000000000004</v>
      </c>
      <c r="P349">
        <v>2026</v>
      </c>
      <c r="Q349" t="s">
        <v>71</v>
      </c>
    </row>
    <row r="350" spans="1:17">
      <c r="A350" t="s">
        <v>519</v>
      </c>
      <c r="B350" s="2">
        <v>46208</v>
      </c>
      <c r="C350" t="s">
        <v>49</v>
      </c>
      <c r="D350" t="s">
        <v>44</v>
      </c>
      <c r="E350" t="s">
        <v>39</v>
      </c>
      <c r="F350" t="s">
        <v>64</v>
      </c>
      <c r="G350" s="3">
        <v>2</v>
      </c>
      <c r="H350">
        <v>2000</v>
      </c>
      <c r="I350">
        <v>0.1</v>
      </c>
      <c r="J350">
        <v>1200</v>
      </c>
      <c r="K350">
        <v>4000</v>
      </c>
      <c r="L350">
        <v>400</v>
      </c>
      <c r="M350">
        <v>2400</v>
      </c>
      <c r="N350">
        <v>1200</v>
      </c>
      <c r="O350" s="4">
        <v>0.3</v>
      </c>
      <c r="P350">
        <v>2026</v>
      </c>
      <c r="Q350" t="s">
        <v>68</v>
      </c>
    </row>
    <row r="351" spans="1:17">
      <c r="A351" t="s">
        <v>520</v>
      </c>
      <c r="B351" s="2">
        <v>46109</v>
      </c>
      <c r="C351" t="s">
        <v>488</v>
      </c>
      <c r="D351" t="s">
        <v>44</v>
      </c>
      <c r="E351" t="s">
        <v>39</v>
      </c>
      <c r="F351" t="s">
        <v>40</v>
      </c>
      <c r="G351" s="3">
        <v>5</v>
      </c>
      <c r="H351">
        <v>700</v>
      </c>
      <c r="I351">
        <v>0.15</v>
      </c>
      <c r="J351">
        <v>400</v>
      </c>
      <c r="K351">
        <v>3500</v>
      </c>
      <c r="L351">
        <v>525</v>
      </c>
      <c r="M351">
        <v>2000</v>
      </c>
      <c r="N351">
        <v>975</v>
      </c>
      <c r="O351" s="4">
        <v>0.27857142857142858</v>
      </c>
      <c r="P351">
        <v>2026</v>
      </c>
      <c r="Q351" t="s">
        <v>57</v>
      </c>
    </row>
    <row r="352" spans="1:17">
      <c r="A352" t="s">
        <v>521</v>
      </c>
      <c r="B352" s="2">
        <v>45927</v>
      </c>
      <c r="C352" t="s">
        <v>228</v>
      </c>
      <c r="D352" t="s">
        <v>55</v>
      </c>
      <c r="E352" t="s">
        <v>82</v>
      </c>
      <c r="F352" t="s">
        <v>101</v>
      </c>
      <c r="G352" s="3">
        <v>8</v>
      </c>
      <c r="H352">
        <v>4000</v>
      </c>
      <c r="I352">
        <v>0.05</v>
      </c>
      <c r="J352">
        <v>2700</v>
      </c>
      <c r="K352">
        <v>32000</v>
      </c>
      <c r="L352">
        <v>1600</v>
      </c>
      <c r="M352">
        <v>21600</v>
      </c>
      <c r="N352">
        <v>8800</v>
      </c>
      <c r="O352" s="4">
        <v>0.27500000000000002</v>
      </c>
      <c r="P352">
        <v>2025</v>
      </c>
      <c r="Q352" t="s">
        <v>41</v>
      </c>
    </row>
    <row r="353" spans="1:17">
      <c r="A353" t="s">
        <v>522</v>
      </c>
      <c r="B353" s="2">
        <v>45692</v>
      </c>
      <c r="C353" t="s">
        <v>225</v>
      </c>
      <c r="D353" t="s">
        <v>38</v>
      </c>
      <c r="E353" t="s">
        <v>45</v>
      </c>
      <c r="F353" t="s">
        <v>95</v>
      </c>
      <c r="G353" s="3">
        <v>7</v>
      </c>
      <c r="H353">
        <v>150</v>
      </c>
      <c r="I353">
        <v>0.05</v>
      </c>
      <c r="J353">
        <v>60</v>
      </c>
      <c r="K353">
        <v>1050</v>
      </c>
      <c r="L353">
        <v>52.5</v>
      </c>
      <c r="M353">
        <v>420</v>
      </c>
      <c r="N353">
        <v>577.5</v>
      </c>
      <c r="O353" s="4">
        <v>0.55000000000000004</v>
      </c>
      <c r="P353">
        <v>2025</v>
      </c>
      <c r="Q353" t="s">
        <v>87</v>
      </c>
    </row>
    <row r="354" spans="1:17">
      <c r="A354" t="s">
        <v>523</v>
      </c>
      <c r="B354" s="2">
        <v>45756</v>
      </c>
      <c r="C354" t="s">
        <v>286</v>
      </c>
      <c r="D354" t="s">
        <v>55</v>
      </c>
      <c r="E354" t="s">
        <v>82</v>
      </c>
      <c r="F354" t="s">
        <v>83</v>
      </c>
      <c r="G354" s="3">
        <v>8</v>
      </c>
      <c r="H354">
        <v>3500</v>
      </c>
      <c r="I354">
        <v>0.05</v>
      </c>
      <c r="J354">
        <v>2200</v>
      </c>
      <c r="K354">
        <v>28000</v>
      </c>
      <c r="L354">
        <v>1400</v>
      </c>
      <c r="M354">
        <v>17600</v>
      </c>
      <c r="N354">
        <v>9000</v>
      </c>
      <c r="O354" s="4">
        <v>0.32142857142857145</v>
      </c>
      <c r="P354">
        <v>2025</v>
      </c>
      <c r="Q354" t="s">
        <v>79</v>
      </c>
    </row>
    <row r="355" spans="1:17">
      <c r="A355" t="s">
        <v>524</v>
      </c>
      <c r="B355" s="2">
        <v>45741</v>
      </c>
      <c r="C355" t="s">
        <v>191</v>
      </c>
      <c r="D355" t="s">
        <v>50</v>
      </c>
      <c r="E355" t="s">
        <v>82</v>
      </c>
      <c r="F355" t="s">
        <v>83</v>
      </c>
      <c r="G355" s="3">
        <v>5</v>
      </c>
      <c r="H355">
        <v>3500</v>
      </c>
      <c r="I355">
        <v>0.05</v>
      </c>
      <c r="J355">
        <v>2200</v>
      </c>
      <c r="K355">
        <v>17500</v>
      </c>
      <c r="L355">
        <v>875</v>
      </c>
      <c r="M355">
        <v>11000</v>
      </c>
      <c r="N355">
        <v>5625</v>
      </c>
      <c r="O355" s="4">
        <v>0.32142857142857145</v>
      </c>
      <c r="P355">
        <v>2025</v>
      </c>
      <c r="Q355" t="s">
        <v>57</v>
      </c>
    </row>
    <row r="356" spans="1:17">
      <c r="A356" t="s">
        <v>525</v>
      </c>
      <c r="B356" s="2">
        <v>46376</v>
      </c>
      <c r="C356" t="s">
        <v>298</v>
      </c>
      <c r="D356" t="s">
        <v>55</v>
      </c>
      <c r="E356" t="s">
        <v>45</v>
      </c>
      <c r="F356" t="s">
        <v>46</v>
      </c>
      <c r="G356" s="3">
        <v>3</v>
      </c>
      <c r="H356">
        <v>300</v>
      </c>
      <c r="I356">
        <v>0.05</v>
      </c>
      <c r="J356">
        <v>180</v>
      </c>
      <c r="K356">
        <v>900</v>
      </c>
      <c r="L356">
        <v>45</v>
      </c>
      <c r="M356">
        <v>540</v>
      </c>
      <c r="N356">
        <v>315</v>
      </c>
      <c r="O356" s="4">
        <v>0.35</v>
      </c>
      <c r="P356">
        <v>2026</v>
      </c>
      <c r="Q356" t="s">
        <v>61</v>
      </c>
    </row>
    <row r="357" spans="1:17">
      <c r="A357" t="s">
        <v>526</v>
      </c>
      <c r="B357" s="2">
        <v>45950</v>
      </c>
      <c r="C357" t="s">
        <v>151</v>
      </c>
      <c r="D357" t="s">
        <v>44</v>
      </c>
      <c r="E357" t="s">
        <v>82</v>
      </c>
      <c r="F357" t="s">
        <v>128</v>
      </c>
      <c r="G357" s="3">
        <v>5</v>
      </c>
      <c r="H357">
        <v>6000</v>
      </c>
      <c r="I357">
        <v>0</v>
      </c>
      <c r="J357">
        <v>4000</v>
      </c>
      <c r="K357">
        <v>30000</v>
      </c>
      <c r="L357">
        <v>0</v>
      </c>
      <c r="M357">
        <v>20000</v>
      </c>
      <c r="N357">
        <v>10000</v>
      </c>
      <c r="O357" s="4">
        <v>0.33333333333333331</v>
      </c>
      <c r="P357">
        <v>2025</v>
      </c>
      <c r="Q357" t="s">
        <v>74</v>
      </c>
    </row>
    <row r="358" spans="1:17">
      <c r="A358" t="s">
        <v>527</v>
      </c>
      <c r="B358" s="2">
        <v>45709</v>
      </c>
      <c r="C358" t="s">
        <v>222</v>
      </c>
      <c r="D358" t="s">
        <v>44</v>
      </c>
      <c r="E358" t="s">
        <v>82</v>
      </c>
      <c r="F358" t="s">
        <v>86</v>
      </c>
      <c r="G358" s="3">
        <v>6</v>
      </c>
      <c r="H358">
        <v>4500</v>
      </c>
      <c r="I358">
        <v>0.15</v>
      </c>
      <c r="J358">
        <v>3000</v>
      </c>
      <c r="K358">
        <v>27000</v>
      </c>
      <c r="L358">
        <v>4050</v>
      </c>
      <c r="M358">
        <v>18000</v>
      </c>
      <c r="N358">
        <v>4950</v>
      </c>
      <c r="O358" s="4">
        <v>0.18333333333333332</v>
      </c>
      <c r="P358">
        <v>2025</v>
      </c>
      <c r="Q358" t="s">
        <v>87</v>
      </c>
    </row>
    <row r="359" spans="1:17">
      <c r="A359" t="s">
        <v>528</v>
      </c>
      <c r="B359" s="2">
        <v>45945</v>
      </c>
      <c r="C359" t="s">
        <v>216</v>
      </c>
      <c r="D359" t="s">
        <v>50</v>
      </c>
      <c r="E359" t="s">
        <v>39</v>
      </c>
      <c r="F359" t="s">
        <v>56</v>
      </c>
      <c r="G359" s="3">
        <v>3</v>
      </c>
      <c r="H359">
        <v>800</v>
      </c>
      <c r="I359">
        <v>0.05</v>
      </c>
      <c r="J359">
        <v>450</v>
      </c>
      <c r="K359">
        <v>2400</v>
      </c>
      <c r="L359">
        <v>120</v>
      </c>
      <c r="M359">
        <v>1350</v>
      </c>
      <c r="N359">
        <v>930</v>
      </c>
      <c r="O359" s="4">
        <v>0.38750000000000001</v>
      </c>
      <c r="P359">
        <v>2025</v>
      </c>
      <c r="Q359" t="s">
        <v>74</v>
      </c>
    </row>
    <row r="360" spans="1:17">
      <c r="A360" t="s">
        <v>529</v>
      </c>
      <c r="B360" s="2">
        <v>46207</v>
      </c>
      <c r="C360" t="s">
        <v>242</v>
      </c>
      <c r="D360" t="s">
        <v>55</v>
      </c>
      <c r="E360" t="s">
        <v>39</v>
      </c>
      <c r="F360" t="s">
        <v>51</v>
      </c>
      <c r="G360" s="3">
        <v>8</v>
      </c>
      <c r="H360">
        <v>250</v>
      </c>
      <c r="I360">
        <v>0.15</v>
      </c>
      <c r="J360">
        <v>100</v>
      </c>
      <c r="K360">
        <v>2000</v>
      </c>
      <c r="L360">
        <v>300</v>
      </c>
      <c r="M360">
        <v>800</v>
      </c>
      <c r="N360">
        <v>900</v>
      </c>
      <c r="O360" s="4">
        <v>0.45</v>
      </c>
      <c r="P360">
        <v>2026</v>
      </c>
      <c r="Q360" t="s">
        <v>68</v>
      </c>
    </row>
    <row r="361" spans="1:17">
      <c r="A361" t="s">
        <v>530</v>
      </c>
      <c r="B361" s="2">
        <v>46121</v>
      </c>
      <c r="C361" t="s">
        <v>54</v>
      </c>
      <c r="D361" t="s">
        <v>55</v>
      </c>
      <c r="E361" t="s">
        <v>82</v>
      </c>
      <c r="F361" t="s">
        <v>86</v>
      </c>
      <c r="G361" s="3">
        <v>8</v>
      </c>
      <c r="H361">
        <v>4500</v>
      </c>
      <c r="I361">
        <v>0.15</v>
      </c>
      <c r="J361">
        <v>3000</v>
      </c>
      <c r="K361">
        <v>36000</v>
      </c>
      <c r="L361">
        <v>5400</v>
      </c>
      <c r="M361">
        <v>24000</v>
      </c>
      <c r="N361">
        <v>6600</v>
      </c>
      <c r="O361" s="4">
        <v>0.18333333333333332</v>
      </c>
      <c r="P361">
        <v>2026</v>
      </c>
      <c r="Q361" t="s">
        <v>79</v>
      </c>
    </row>
    <row r="362" spans="1:17">
      <c r="A362" t="s">
        <v>531</v>
      </c>
      <c r="B362" s="2">
        <v>46109</v>
      </c>
      <c r="C362" t="s">
        <v>37</v>
      </c>
      <c r="D362" t="s">
        <v>55</v>
      </c>
      <c r="E362" t="s">
        <v>82</v>
      </c>
      <c r="F362" t="s">
        <v>128</v>
      </c>
      <c r="G362" s="3">
        <v>5</v>
      </c>
      <c r="H362">
        <v>6000</v>
      </c>
      <c r="I362">
        <v>0.1</v>
      </c>
      <c r="J362">
        <v>4000</v>
      </c>
      <c r="K362">
        <v>30000</v>
      </c>
      <c r="L362">
        <v>3000</v>
      </c>
      <c r="M362">
        <v>20000</v>
      </c>
      <c r="N362">
        <v>7000</v>
      </c>
      <c r="O362" s="4">
        <v>0.23333333333333334</v>
      </c>
      <c r="P362">
        <v>2026</v>
      </c>
      <c r="Q362" t="s">
        <v>57</v>
      </c>
    </row>
    <row r="363" spans="1:17">
      <c r="A363" t="s">
        <v>532</v>
      </c>
      <c r="B363" s="2">
        <v>46126</v>
      </c>
      <c r="C363" t="s">
        <v>415</v>
      </c>
      <c r="D363" t="s">
        <v>55</v>
      </c>
      <c r="E363" t="s">
        <v>39</v>
      </c>
      <c r="F363" t="s">
        <v>51</v>
      </c>
      <c r="G363" s="3">
        <v>8</v>
      </c>
      <c r="H363">
        <v>250</v>
      </c>
      <c r="I363">
        <v>0</v>
      </c>
      <c r="J363">
        <v>100</v>
      </c>
      <c r="K363">
        <v>2000</v>
      </c>
      <c r="L363">
        <v>0</v>
      </c>
      <c r="M363">
        <v>800</v>
      </c>
      <c r="N363">
        <v>1200</v>
      </c>
      <c r="O363" s="4">
        <v>0.6</v>
      </c>
      <c r="P363">
        <v>2026</v>
      </c>
      <c r="Q363" t="s">
        <v>79</v>
      </c>
    </row>
    <row r="364" spans="1:17">
      <c r="A364" t="s">
        <v>533</v>
      </c>
      <c r="B364" s="2">
        <v>45818</v>
      </c>
      <c r="C364" t="s">
        <v>305</v>
      </c>
      <c r="D364" t="s">
        <v>55</v>
      </c>
      <c r="E364" t="s">
        <v>39</v>
      </c>
      <c r="F364" t="s">
        <v>40</v>
      </c>
      <c r="G364" s="3">
        <v>6</v>
      </c>
      <c r="H364">
        <v>700</v>
      </c>
      <c r="I364">
        <v>0</v>
      </c>
      <c r="J364">
        <v>400</v>
      </c>
      <c r="K364">
        <v>4200</v>
      </c>
      <c r="L364">
        <v>0</v>
      </c>
      <c r="M364">
        <v>2400</v>
      </c>
      <c r="N364">
        <v>1800</v>
      </c>
      <c r="O364" s="4">
        <v>0.42857142857142855</v>
      </c>
      <c r="P364">
        <v>2025</v>
      </c>
      <c r="Q364" t="s">
        <v>52</v>
      </c>
    </row>
    <row r="365" spans="1:17">
      <c r="A365" t="s">
        <v>534</v>
      </c>
      <c r="B365" s="2">
        <v>46048</v>
      </c>
      <c r="C365" t="s">
        <v>228</v>
      </c>
      <c r="D365" t="s">
        <v>55</v>
      </c>
      <c r="E365" t="s">
        <v>39</v>
      </c>
      <c r="F365" t="s">
        <v>51</v>
      </c>
      <c r="G365" s="3">
        <v>1</v>
      </c>
      <c r="H365">
        <v>250</v>
      </c>
      <c r="I365">
        <v>0.05</v>
      </c>
      <c r="J365">
        <v>100</v>
      </c>
      <c r="K365">
        <v>250</v>
      </c>
      <c r="L365">
        <v>12.5</v>
      </c>
      <c r="M365">
        <v>100</v>
      </c>
      <c r="N365">
        <v>137.5</v>
      </c>
      <c r="O365" s="4">
        <v>0.55000000000000004</v>
      </c>
      <c r="P365">
        <v>2026</v>
      </c>
      <c r="Q365" t="s">
        <v>47</v>
      </c>
    </row>
    <row r="366" spans="1:17">
      <c r="A366" t="s">
        <v>535</v>
      </c>
      <c r="B366" s="2">
        <v>46319</v>
      </c>
      <c r="C366" t="s">
        <v>151</v>
      </c>
      <c r="D366" t="s">
        <v>38</v>
      </c>
      <c r="E366" t="s">
        <v>59</v>
      </c>
      <c r="F366" t="s">
        <v>158</v>
      </c>
      <c r="G366" s="3">
        <v>3</v>
      </c>
      <c r="H366">
        <v>500</v>
      </c>
      <c r="I366">
        <v>0.15</v>
      </c>
      <c r="J366">
        <v>250</v>
      </c>
      <c r="K366">
        <v>1500</v>
      </c>
      <c r="L366">
        <v>225</v>
      </c>
      <c r="M366">
        <v>750</v>
      </c>
      <c r="N366">
        <v>525</v>
      </c>
      <c r="O366" s="4">
        <v>0.35</v>
      </c>
      <c r="P366">
        <v>2026</v>
      </c>
      <c r="Q366" t="s">
        <v>74</v>
      </c>
    </row>
    <row r="367" spans="1:17">
      <c r="A367" t="s">
        <v>536</v>
      </c>
      <c r="B367" s="2">
        <v>45852</v>
      </c>
      <c r="C367" t="s">
        <v>162</v>
      </c>
      <c r="D367" t="s">
        <v>50</v>
      </c>
      <c r="E367" t="s">
        <v>82</v>
      </c>
      <c r="F367" t="s">
        <v>128</v>
      </c>
      <c r="G367" s="3">
        <v>5</v>
      </c>
      <c r="H367">
        <v>6000</v>
      </c>
      <c r="I367">
        <v>0.15</v>
      </c>
      <c r="J367">
        <v>4000</v>
      </c>
      <c r="K367">
        <v>30000</v>
      </c>
      <c r="L367">
        <v>4500</v>
      </c>
      <c r="M367">
        <v>20000</v>
      </c>
      <c r="N367">
        <v>5500</v>
      </c>
      <c r="O367" s="4">
        <v>0.18333333333333332</v>
      </c>
      <c r="P367">
        <v>2025</v>
      </c>
      <c r="Q367" t="s">
        <v>68</v>
      </c>
    </row>
    <row r="368" spans="1:17">
      <c r="A368" t="s">
        <v>537</v>
      </c>
      <c r="B368" s="2">
        <v>46236</v>
      </c>
      <c r="C368" t="s">
        <v>176</v>
      </c>
      <c r="D368" t="s">
        <v>50</v>
      </c>
      <c r="E368" t="s">
        <v>45</v>
      </c>
      <c r="F368" t="s">
        <v>95</v>
      </c>
      <c r="G368" s="3">
        <v>7</v>
      </c>
      <c r="H368">
        <v>150</v>
      </c>
      <c r="I368">
        <v>0.05</v>
      </c>
      <c r="J368">
        <v>60</v>
      </c>
      <c r="K368">
        <v>1050</v>
      </c>
      <c r="L368">
        <v>52.5</v>
      </c>
      <c r="M368">
        <v>420</v>
      </c>
      <c r="N368">
        <v>577.5</v>
      </c>
      <c r="O368" s="4">
        <v>0.55000000000000004</v>
      </c>
      <c r="P368">
        <v>2026</v>
      </c>
      <c r="Q368" t="s">
        <v>71</v>
      </c>
    </row>
    <row r="369" spans="1:17">
      <c r="A369" t="s">
        <v>538</v>
      </c>
      <c r="B369" s="2">
        <v>45940</v>
      </c>
      <c r="C369" t="s">
        <v>120</v>
      </c>
      <c r="D369" t="s">
        <v>55</v>
      </c>
      <c r="E369" t="s">
        <v>82</v>
      </c>
      <c r="F369" t="s">
        <v>101</v>
      </c>
      <c r="G369" s="3">
        <v>1</v>
      </c>
      <c r="H369">
        <v>4000</v>
      </c>
      <c r="I369">
        <v>0.15</v>
      </c>
      <c r="J369">
        <v>2700</v>
      </c>
      <c r="K369">
        <v>4000</v>
      </c>
      <c r="L369">
        <v>600</v>
      </c>
      <c r="M369">
        <v>2700</v>
      </c>
      <c r="N369">
        <v>700</v>
      </c>
      <c r="O369" s="4">
        <v>0.17499999999999999</v>
      </c>
      <c r="P369">
        <v>2025</v>
      </c>
      <c r="Q369" t="s">
        <v>74</v>
      </c>
    </row>
    <row r="370" spans="1:17">
      <c r="A370" t="s">
        <v>539</v>
      </c>
      <c r="B370" s="2">
        <v>46315</v>
      </c>
      <c r="C370" t="s">
        <v>266</v>
      </c>
      <c r="D370" t="s">
        <v>55</v>
      </c>
      <c r="E370" t="s">
        <v>39</v>
      </c>
      <c r="F370" t="s">
        <v>51</v>
      </c>
      <c r="G370" s="3">
        <v>6</v>
      </c>
      <c r="H370">
        <v>250</v>
      </c>
      <c r="I370">
        <v>0</v>
      </c>
      <c r="J370">
        <v>100</v>
      </c>
      <c r="K370">
        <v>1500</v>
      </c>
      <c r="L370">
        <v>0</v>
      </c>
      <c r="M370">
        <v>600</v>
      </c>
      <c r="N370">
        <v>900</v>
      </c>
      <c r="O370" s="4">
        <v>0.6</v>
      </c>
      <c r="P370">
        <v>2026</v>
      </c>
      <c r="Q370" t="s">
        <v>74</v>
      </c>
    </row>
    <row r="371" spans="1:17">
      <c r="A371" t="s">
        <v>540</v>
      </c>
      <c r="B371" s="2">
        <v>46178</v>
      </c>
      <c r="C371" t="s">
        <v>43</v>
      </c>
      <c r="D371" t="s">
        <v>55</v>
      </c>
      <c r="E371" t="s">
        <v>82</v>
      </c>
      <c r="F371" t="s">
        <v>128</v>
      </c>
      <c r="G371" s="3">
        <v>6</v>
      </c>
      <c r="H371">
        <v>6000</v>
      </c>
      <c r="I371">
        <v>0.05</v>
      </c>
      <c r="J371">
        <v>4000</v>
      </c>
      <c r="K371">
        <v>36000</v>
      </c>
      <c r="L371">
        <v>1800</v>
      </c>
      <c r="M371">
        <v>24000</v>
      </c>
      <c r="N371">
        <v>10200</v>
      </c>
      <c r="O371" s="4">
        <v>0.28333333333333333</v>
      </c>
      <c r="P371">
        <v>2026</v>
      </c>
      <c r="Q371" t="s">
        <v>52</v>
      </c>
    </row>
    <row r="372" spans="1:17">
      <c r="A372" t="s">
        <v>541</v>
      </c>
      <c r="B372" s="2">
        <v>45908</v>
      </c>
      <c r="C372" t="s">
        <v>108</v>
      </c>
      <c r="D372" t="s">
        <v>50</v>
      </c>
      <c r="E372" t="s">
        <v>45</v>
      </c>
      <c r="F372" t="s">
        <v>46</v>
      </c>
      <c r="G372" s="3">
        <v>2</v>
      </c>
      <c r="H372">
        <v>300</v>
      </c>
      <c r="I372">
        <v>0.15</v>
      </c>
      <c r="J372">
        <v>180</v>
      </c>
      <c r="K372">
        <v>600</v>
      </c>
      <c r="L372">
        <v>90</v>
      </c>
      <c r="M372">
        <v>360</v>
      </c>
      <c r="N372">
        <v>150</v>
      </c>
      <c r="O372" s="4">
        <v>0.25</v>
      </c>
      <c r="P372">
        <v>2025</v>
      </c>
      <c r="Q372" t="s">
        <v>41</v>
      </c>
    </row>
    <row r="373" spans="1:17">
      <c r="A373" t="s">
        <v>542</v>
      </c>
      <c r="B373" s="2">
        <v>46350</v>
      </c>
      <c r="C373" t="s">
        <v>183</v>
      </c>
      <c r="D373" t="s">
        <v>44</v>
      </c>
      <c r="E373" t="s">
        <v>39</v>
      </c>
      <c r="F373" t="s">
        <v>51</v>
      </c>
      <c r="G373" s="3">
        <v>1</v>
      </c>
      <c r="H373">
        <v>250</v>
      </c>
      <c r="I373">
        <v>0.05</v>
      </c>
      <c r="J373">
        <v>100</v>
      </c>
      <c r="K373">
        <v>250</v>
      </c>
      <c r="L373">
        <v>12.5</v>
      </c>
      <c r="M373">
        <v>100</v>
      </c>
      <c r="N373">
        <v>137.5</v>
      </c>
      <c r="O373" s="4">
        <v>0.55000000000000004</v>
      </c>
      <c r="P373">
        <v>2026</v>
      </c>
      <c r="Q373" t="s">
        <v>98</v>
      </c>
    </row>
    <row r="374" spans="1:17">
      <c r="A374" t="s">
        <v>543</v>
      </c>
      <c r="B374" s="2">
        <v>46070</v>
      </c>
      <c r="C374" t="s">
        <v>113</v>
      </c>
      <c r="D374" t="s">
        <v>44</v>
      </c>
      <c r="E374" t="s">
        <v>45</v>
      </c>
      <c r="F374" t="s">
        <v>67</v>
      </c>
      <c r="G374" s="3">
        <v>5</v>
      </c>
      <c r="H374">
        <v>200</v>
      </c>
      <c r="I374">
        <v>0.1</v>
      </c>
      <c r="J374">
        <v>90</v>
      </c>
      <c r="K374">
        <v>1000</v>
      </c>
      <c r="L374">
        <v>100</v>
      </c>
      <c r="M374">
        <v>450</v>
      </c>
      <c r="N374">
        <v>450</v>
      </c>
      <c r="O374" s="4">
        <v>0.45</v>
      </c>
      <c r="P374">
        <v>2026</v>
      </c>
      <c r="Q374" t="s">
        <v>87</v>
      </c>
    </row>
    <row r="375" spans="1:17">
      <c r="A375" t="s">
        <v>544</v>
      </c>
      <c r="B375" s="2">
        <v>45765</v>
      </c>
      <c r="C375" t="s">
        <v>174</v>
      </c>
      <c r="D375" t="s">
        <v>50</v>
      </c>
      <c r="E375" t="s">
        <v>82</v>
      </c>
      <c r="F375" t="s">
        <v>101</v>
      </c>
      <c r="G375" s="3">
        <v>4</v>
      </c>
      <c r="H375">
        <v>4000</v>
      </c>
      <c r="I375">
        <v>0.15</v>
      </c>
      <c r="J375">
        <v>2700</v>
      </c>
      <c r="K375">
        <v>16000</v>
      </c>
      <c r="L375">
        <v>2400</v>
      </c>
      <c r="M375">
        <v>10800</v>
      </c>
      <c r="N375">
        <v>2800</v>
      </c>
      <c r="O375" s="4">
        <v>0.17499999999999999</v>
      </c>
      <c r="P375">
        <v>2025</v>
      </c>
      <c r="Q375" t="s">
        <v>79</v>
      </c>
    </row>
    <row r="376" spans="1:17">
      <c r="A376" t="s">
        <v>545</v>
      </c>
      <c r="B376" s="2">
        <v>46103</v>
      </c>
      <c r="C376" t="s">
        <v>277</v>
      </c>
      <c r="D376" t="s">
        <v>50</v>
      </c>
      <c r="E376" t="s">
        <v>59</v>
      </c>
      <c r="F376" t="s">
        <v>158</v>
      </c>
      <c r="G376" s="3">
        <v>1</v>
      </c>
      <c r="H376">
        <v>500</v>
      </c>
      <c r="I376">
        <v>0.05</v>
      </c>
      <c r="J376">
        <v>250</v>
      </c>
      <c r="K376">
        <v>500</v>
      </c>
      <c r="L376">
        <v>25</v>
      </c>
      <c r="M376">
        <v>250</v>
      </c>
      <c r="N376">
        <v>225</v>
      </c>
      <c r="O376" s="4">
        <v>0.45</v>
      </c>
      <c r="P376">
        <v>2026</v>
      </c>
      <c r="Q376" t="s">
        <v>57</v>
      </c>
    </row>
    <row r="377" spans="1:17">
      <c r="A377" t="s">
        <v>546</v>
      </c>
      <c r="B377" s="2">
        <v>45728</v>
      </c>
      <c r="C377" t="s">
        <v>341</v>
      </c>
      <c r="D377" t="s">
        <v>55</v>
      </c>
      <c r="E377" t="s">
        <v>45</v>
      </c>
      <c r="F377" t="s">
        <v>168</v>
      </c>
      <c r="G377" s="3">
        <v>5</v>
      </c>
      <c r="H377">
        <v>100</v>
      </c>
      <c r="I377">
        <v>0.15</v>
      </c>
      <c r="J377">
        <v>40</v>
      </c>
      <c r="K377">
        <v>500</v>
      </c>
      <c r="L377">
        <v>75</v>
      </c>
      <c r="M377">
        <v>200</v>
      </c>
      <c r="N377">
        <v>225</v>
      </c>
      <c r="O377" s="4">
        <v>0.45</v>
      </c>
      <c r="P377">
        <v>2025</v>
      </c>
      <c r="Q377" t="s">
        <v>57</v>
      </c>
    </row>
    <row r="378" spans="1:17">
      <c r="A378" t="s">
        <v>547</v>
      </c>
      <c r="B378" s="2">
        <v>46023</v>
      </c>
      <c r="C378" t="s">
        <v>207</v>
      </c>
      <c r="D378" t="s">
        <v>50</v>
      </c>
      <c r="E378" t="s">
        <v>59</v>
      </c>
      <c r="F378" t="s">
        <v>77</v>
      </c>
      <c r="G378" s="3">
        <v>7</v>
      </c>
      <c r="H378">
        <v>1200</v>
      </c>
      <c r="I378">
        <v>0.15</v>
      </c>
      <c r="J378">
        <v>750</v>
      </c>
      <c r="K378">
        <v>8400</v>
      </c>
      <c r="L378">
        <v>1260</v>
      </c>
      <c r="M378">
        <v>5250</v>
      </c>
      <c r="N378">
        <v>1890</v>
      </c>
      <c r="O378" s="4">
        <v>0.22500000000000001</v>
      </c>
      <c r="P378">
        <v>2026</v>
      </c>
      <c r="Q378" t="s">
        <v>47</v>
      </c>
    </row>
    <row r="379" spans="1:17">
      <c r="A379" t="s">
        <v>548</v>
      </c>
      <c r="B379" s="2">
        <v>46346</v>
      </c>
      <c r="C379" t="s">
        <v>549</v>
      </c>
      <c r="D379" t="s">
        <v>55</v>
      </c>
      <c r="E379" t="s">
        <v>59</v>
      </c>
      <c r="F379" t="s">
        <v>158</v>
      </c>
      <c r="G379" s="3">
        <v>6</v>
      </c>
      <c r="H379">
        <v>500</v>
      </c>
      <c r="I379">
        <v>0.05</v>
      </c>
      <c r="J379">
        <v>250</v>
      </c>
      <c r="K379">
        <v>3000</v>
      </c>
      <c r="L379">
        <v>150</v>
      </c>
      <c r="M379">
        <v>1500</v>
      </c>
      <c r="N379">
        <v>1350</v>
      </c>
      <c r="O379" s="4">
        <v>0.45</v>
      </c>
      <c r="P379">
        <v>2026</v>
      </c>
      <c r="Q379" t="s">
        <v>98</v>
      </c>
    </row>
    <row r="380" spans="1:17">
      <c r="A380" t="s">
        <v>550</v>
      </c>
      <c r="B380" s="2">
        <v>46204</v>
      </c>
      <c r="C380" t="s">
        <v>191</v>
      </c>
      <c r="D380" t="s">
        <v>38</v>
      </c>
      <c r="E380" t="s">
        <v>59</v>
      </c>
      <c r="F380" t="s">
        <v>77</v>
      </c>
      <c r="G380" s="3">
        <v>2</v>
      </c>
      <c r="H380">
        <v>1200</v>
      </c>
      <c r="I380">
        <v>0.1</v>
      </c>
      <c r="J380">
        <v>750</v>
      </c>
      <c r="K380">
        <v>2400</v>
      </c>
      <c r="L380">
        <v>240</v>
      </c>
      <c r="M380">
        <v>1500</v>
      </c>
      <c r="N380">
        <v>660</v>
      </c>
      <c r="O380" s="4">
        <v>0.27500000000000002</v>
      </c>
      <c r="P380">
        <v>2026</v>
      </c>
      <c r="Q380" t="s">
        <v>68</v>
      </c>
    </row>
    <row r="381" spans="1:17">
      <c r="A381" t="s">
        <v>551</v>
      </c>
      <c r="B381" s="2">
        <v>46222</v>
      </c>
      <c r="C381" t="s">
        <v>359</v>
      </c>
      <c r="D381" t="s">
        <v>55</v>
      </c>
      <c r="E381" t="s">
        <v>39</v>
      </c>
      <c r="F381" t="s">
        <v>40</v>
      </c>
      <c r="G381" s="3">
        <v>6</v>
      </c>
      <c r="H381">
        <v>700</v>
      </c>
      <c r="I381">
        <v>0.15</v>
      </c>
      <c r="J381">
        <v>400</v>
      </c>
      <c r="K381">
        <v>4200</v>
      </c>
      <c r="L381">
        <v>630</v>
      </c>
      <c r="M381">
        <v>2400</v>
      </c>
      <c r="N381">
        <v>1170</v>
      </c>
      <c r="O381" s="4">
        <v>0.27857142857142858</v>
      </c>
      <c r="P381">
        <v>2026</v>
      </c>
      <c r="Q381" t="s">
        <v>68</v>
      </c>
    </row>
    <row r="382" spans="1:17">
      <c r="A382" t="s">
        <v>552</v>
      </c>
      <c r="B382" s="2">
        <v>46124</v>
      </c>
      <c r="C382" t="s">
        <v>291</v>
      </c>
      <c r="D382" t="s">
        <v>50</v>
      </c>
      <c r="E382" t="s">
        <v>39</v>
      </c>
      <c r="F382" t="s">
        <v>64</v>
      </c>
      <c r="G382" s="3">
        <v>8</v>
      </c>
      <c r="H382">
        <v>2000</v>
      </c>
      <c r="I382">
        <v>0.1</v>
      </c>
      <c r="J382">
        <v>1200</v>
      </c>
      <c r="K382">
        <v>16000</v>
      </c>
      <c r="L382">
        <v>1600</v>
      </c>
      <c r="M382">
        <v>9600</v>
      </c>
      <c r="N382">
        <v>4800</v>
      </c>
      <c r="O382" s="4">
        <v>0.3</v>
      </c>
      <c r="P382">
        <v>2026</v>
      </c>
      <c r="Q382" t="s">
        <v>79</v>
      </c>
    </row>
    <row r="383" spans="1:17">
      <c r="A383" t="s">
        <v>553</v>
      </c>
      <c r="B383" s="2">
        <v>45720</v>
      </c>
      <c r="C383" t="s">
        <v>165</v>
      </c>
      <c r="D383" t="s">
        <v>38</v>
      </c>
      <c r="E383" t="s">
        <v>45</v>
      </c>
      <c r="F383" t="s">
        <v>168</v>
      </c>
      <c r="G383" s="3">
        <v>2</v>
      </c>
      <c r="H383">
        <v>100</v>
      </c>
      <c r="I383">
        <v>0.05</v>
      </c>
      <c r="J383">
        <v>40</v>
      </c>
      <c r="K383">
        <v>200</v>
      </c>
      <c r="L383">
        <v>10</v>
      </c>
      <c r="M383">
        <v>80</v>
      </c>
      <c r="N383">
        <v>110</v>
      </c>
      <c r="O383" s="4">
        <v>0.55000000000000004</v>
      </c>
      <c r="P383">
        <v>2025</v>
      </c>
      <c r="Q383" t="s">
        <v>57</v>
      </c>
    </row>
    <row r="384" spans="1:17">
      <c r="A384" t="s">
        <v>554</v>
      </c>
      <c r="B384" s="2">
        <v>45803</v>
      </c>
      <c r="C384" t="s">
        <v>141</v>
      </c>
      <c r="D384" t="s">
        <v>38</v>
      </c>
      <c r="E384" t="s">
        <v>39</v>
      </c>
      <c r="F384" t="s">
        <v>40</v>
      </c>
      <c r="G384" s="3">
        <v>8</v>
      </c>
      <c r="H384">
        <v>700</v>
      </c>
      <c r="I384">
        <v>0</v>
      </c>
      <c r="J384">
        <v>400</v>
      </c>
      <c r="K384">
        <v>5600</v>
      </c>
      <c r="L384">
        <v>0</v>
      </c>
      <c r="M384">
        <v>3200</v>
      </c>
      <c r="N384">
        <v>2400</v>
      </c>
      <c r="O384" s="4">
        <v>0.42857142857142855</v>
      </c>
      <c r="P384">
        <v>2025</v>
      </c>
      <c r="Q384" t="s">
        <v>145</v>
      </c>
    </row>
    <row r="385" spans="1:17">
      <c r="A385" t="s">
        <v>555</v>
      </c>
      <c r="B385" s="2">
        <v>46177</v>
      </c>
      <c r="C385" t="s">
        <v>110</v>
      </c>
      <c r="D385" t="s">
        <v>55</v>
      </c>
      <c r="E385" t="s">
        <v>45</v>
      </c>
      <c r="F385" t="s">
        <v>67</v>
      </c>
      <c r="G385" s="3">
        <v>1</v>
      </c>
      <c r="H385">
        <v>200</v>
      </c>
      <c r="I385">
        <v>0.1</v>
      </c>
      <c r="J385">
        <v>90</v>
      </c>
      <c r="K385">
        <v>200</v>
      </c>
      <c r="L385">
        <v>20</v>
      </c>
      <c r="M385">
        <v>90</v>
      </c>
      <c r="N385">
        <v>90</v>
      </c>
      <c r="O385" s="4">
        <v>0.45</v>
      </c>
      <c r="P385">
        <v>2026</v>
      </c>
      <c r="Q385" t="s">
        <v>52</v>
      </c>
    </row>
    <row r="386" spans="1:17">
      <c r="A386" t="s">
        <v>556</v>
      </c>
      <c r="B386" s="2">
        <v>46124</v>
      </c>
      <c r="C386" t="s">
        <v>122</v>
      </c>
      <c r="D386" t="s">
        <v>38</v>
      </c>
      <c r="E386" t="s">
        <v>82</v>
      </c>
      <c r="F386" t="s">
        <v>83</v>
      </c>
      <c r="G386" s="3">
        <v>5</v>
      </c>
      <c r="H386">
        <v>3500</v>
      </c>
      <c r="I386">
        <v>0.15</v>
      </c>
      <c r="J386">
        <v>2200</v>
      </c>
      <c r="K386">
        <v>17500</v>
      </c>
      <c r="L386">
        <v>2625</v>
      </c>
      <c r="M386">
        <v>11000</v>
      </c>
      <c r="N386">
        <v>3875</v>
      </c>
      <c r="O386" s="4">
        <v>0.22142857142857142</v>
      </c>
      <c r="P386">
        <v>2026</v>
      </c>
      <c r="Q386" t="s">
        <v>79</v>
      </c>
    </row>
    <row r="387" spans="1:17">
      <c r="A387" t="s">
        <v>557</v>
      </c>
      <c r="B387" s="2">
        <v>46030</v>
      </c>
      <c r="C387" t="s">
        <v>137</v>
      </c>
      <c r="D387" t="s">
        <v>44</v>
      </c>
      <c r="E387" t="s">
        <v>39</v>
      </c>
      <c r="F387" t="s">
        <v>64</v>
      </c>
      <c r="G387" s="3">
        <v>1</v>
      </c>
      <c r="H387">
        <v>2000</v>
      </c>
      <c r="I387">
        <v>0.15</v>
      </c>
      <c r="J387">
        <v>1200</v>
      </c>
      <c r="K387">
        <v>2000</v>
      </c>
      <c r="L387">
        <v>300</v>
      </c>
      <c r="M387">
        <v>1200</v>
      </c>
      <c r="N387">
        <v>500</v>
      </c>
      <c r="O387" s="4">
        <v>0.25</v>
      </c>
      <c r="P387">
        <v>2026</v>
      </c>
      <c r="Q387" t="s">
        <v>47</v>
      </c>
    </row>
    <row r="388" spans="1:17">
      <c r="A388" t="s">
        <v>558</v>
      </c>
      <c r="B388" s="2">
        <v>46259</v>
      </c>
      <c r="C388" t="s">
        <v>122</v>
      </c>
      <c r="D388" t="s">
        <v>44</v>
      </c>
      <c r="E388" t="s">
        <v>82</v>
      </c>
      <c r="F388" t="s">
        <v>101</v>
      </c>
      <c r="G388" s="3">
        <v>8</v>
      </c>
      <c r="H388">
        <v>4000</v>
      </c>
      <c r="I388">
        <v>0.1</v>
      </c>
      <c r="J388">
        <v>2700</v>
      </c>
      <c r="K388">
        <v>32000</v>
      </c>
      <c r="L388">
        <v>3200</v>
      </c>
      <c r="M388">
        <v>21600</v>
      </c>
      <c r="N388">
        <v>7200</v>
      </c>
      <c r="O388" s="4">
        <v>0.22500000000000001</v>
      </c>
      <c r="P388">
        <v>2026</v>
      </c>
      <c r="Q388" t="s">
        <v>71</v>
      </c>
    </row>
    <row r="389" spans="1:17">
      <c r="A389" t="s">
        <v>559</v>
      </c>
      <c r="B389" s="2">
        <v>45659</v>
      </c>
      <c r="C389" t="s">
        <v>207</v>
      </c>
      <c r="D389" t="s">
        <v>38</v>
      </c>
      <c r="E389" t="s">
        <v>45</v>
      </c>
      <c r="F389" t="s">
        <v>67</v>
      </c>
      <c r="G389" s="3">
        <v>1</v>
      </c>
      <c r="H389">
        <v>200</v>
      </c>
      <c r="I389">
        <v>0.15</v>
      </c>
      <c r="J389">
        <v>90</v>
      </c>
      <c r="K389">
        <v>200</v>
      </c>
      <c r="L389">
        <v>30</v>
      </c>
      <c r="M389">
        <v>90</v>
      </c>
      <c r="N389">
        <v>80</v>
      </c>
      <c r="O389" s="4">
        <v>0.4</v>
      </c>
      <c r="P389">
        <v>2025</v>
      </c>
      <c r="Q389" t="s">
        <v>47</v>
      </c>
    </row>
    <row r="390" spans="1:17">
      <c r="A390" t="s">
        <v>560</v>
      </c>
      <c r="B390" s="2">
        <v>46263</v>
      </c>
      <c r="C390" t="s">
        <v>85</v>
      </c>
      <c r="D390" t="s">
        <v>50</v>
      </c>
      <c r="E390" t="s">
        <v>39</v>
      </c>
      <c r="F390" t="s">
        <v>51</v>
      </c>
      <c r="G390" s="3">
        <v>2</v>
      </c>
      <c r="H390">
        <v>250</v>
      </c>
      <c r="I390">
        <v>0</v>
      </c>
      <c r="J390">
        <v>100</v>
      </c>
      <c r="K390">
        <v>500</v>
      </c>
      <c r="L390">
        <v>0</v>
      </c>
      <c r="M390">
        <v>200</v>
      </c>
      <c r="N390">
        <v>300</v>
      </c>
      <c r="O390" s="4">
        <v>0.6</v>
      </c>
      <c r="P390">
        <v>2026</v>
      </c>
      <c r="Q390" t="s">
        <v>71</v>
      </c>
    </row>
    <row r="391" spans="1:17">
      <c r="A391" t="s">
        <v>561</v>
      </c>
      <c r="B391" s="2">
        <v>46139</v>
      </c>
      <c r="C391" t="s">
        <v>137</v>
      </c>
      <c r="D391" t="s">
        <v>44</v>
      </c>
      <c r="E391" t="s">
        <v>59</v>
      </c>
      <c r="F391" t="s">
        <v>90</v>
      </c>
      <c r="G391" s="3">
        <v>8</v>
      </c>
      <c r="H391">
        <v>9000</v>
      </c>
      <c r="I391">
        <v>0.15</v>
      </c>
      <c r="J391">
        <v>6500</v>
      </c>
      <c r="K391">
        <v>72000</v>
      </c>
      <c r="L391">
        <v>10800</v>
      </c>
      <c r="M391">
        <v>52000</v>
      </c>
      <c r="N391">
        <v>9200</v>
      </c>
      <c r="O391" s="4">
        <v>0.12777777777777777</v>
      </c>
      <c r="P391">
        <v>2026</v>
      </c>
      <c r="Q391" t="s">
        <v>79</v>
      </c>
    </row>
    <row r="392" spans="1:17">
      <c r="A392" t="s">
        <v>562</v>
      </c>
      <c r="B392" s="2">
        <v>46350</v>
      </c>
      <c r="C392" t="s">
        <v>117</v>
      </c>
      <c r="D392" t="s">
        <v>38</v>
      </c>
      <c r="E392" t="s">
        <v>39</v>
      </c>
      <c r="F392" t="s">
        <v>40</v>
      </c>
      <c r="G392" s="3">
        <v>1</v>
      </c>
      <c r="H392">
        <v>700</v>
      </c>
      <c r="I392">
        <v>0.05</v>
      </c>
      <c r="J392">
        <v>400</v>
      </c>
      <c r="K392">
        <v>700</v>
      </c>
      <c r="L392">
        <v>35</v>
      </c>
      <c r="M392">
        <v>400</v>
      </c>
      <c r="N392">
        <v>265</v>
      </c>
      <c r="O392" s="4">
        <v>0.37857142857142856</v>
      </c>
      <c r="P392">
        <v>2026</v>
      </c>
      <c r="Q392" t="s">
        <v>98</v>
      </c>
    </row>
    <row r="393" spans="1:17">
      <c r="A393" t="s">
        <v>563</v>
      </c>
      <c r="B393" s="2">
        <v>46373</v>
      </c>
      <c r="C393" t="s">
        <v>347</v>
      </c>
      <c r="D393" t="s">
        <v>50</v>
      </c>
      <c r="E393" t="s">
        <v>45</v>
      </c>
      <c r="F393" t="s">
        <v>67</v>
      </c>
      <c r="G393" s="3">
        <v>8</v>
      </c>
      <c r="H393">
        <v>200</v>
      </c>
      <c r="I393">
        <v>0.1</v>
      </c>
      <c r="J393">
        <v>90</v>
      </c>
      <c r="K393">
        <v>1600</v>
      </c>
      <c r="L393">
        <v>160</v>
      </c>
      <c r="M393">
        <v>720</v>
      </c>
      <c r="N393">
        <v>720</v>
      </c>
      <c r="O393" s="4">
        <v>0.45</v>
      </c>
      <c r="P393">
        <v>2026</v>
      </c>
      <c r="Q393" t="s">
        <v>61</v>
      </c>
    </row>
    <row r="394" spans="1:17">
      <c r="A394" t="s">
        <v>564</v>
      </c>
      <c r="B394" s="2">
        <v>45727</v>
      </c>
      <c r="C394" t="s">
        <v>115</v>
      </c>
      <c r="D394" t="s">
        <v>44</v>
      </c>
      <c r="E394" t="s">
        <v>45</v>
      </c>
      <c r="F394" t="s">
        <v>46</v>
      </c>
      <c r="G394" s="3">
        <v>2</v>
      </c>
      <c r="H394">
        <v>300</v>
      </c>
      <c r="I394">
        <v>0</v>
      </c>
      <c r="J394">
        <v>180</v>
      </c>
      <c r="K394">
        <v>600</v>
      </c>
      <c r="L394">
        <v>0</v>
      </c>
      <c r="M394">
        <v>360</v>
      </c>
      <c r="N394">
        <v>240</v>
      </c>
      <c r="O394" s="4">
        <v>0.4</v>
      </c>
      <c r="P394">
        <v>2025</v>
      </c>
      <c r="Q394" t="s">
        <v>57</v>
      </c>
    </row>
    <row r="395" spans="1:17">
      <c r="A395" t="s">
        <v>565</v>
      </c>
      <c r="B395" s="2">
        <v>45774</v>
      </c>
      <c r="C395" t="s">
        <v>347</v>
      </c>
      <c r="D395" t="s">
        <v>38</v>
      </c>
      <c r="E395" t="s">
        <v>39</v>
      </c>
      <c r="F395" t="s">
        <v>64</v>
      </c>
      <c r="G395" s="3">
        <v>4</v>
      </c>
      <c r="H395">
        <v>2000</v>
      </c>
      <c r="I395">
        <v>0.1</v>
      </c>
      <c r="J395">
        <v>1200</v>
      </c>
      <c r="K395">
        <v>8000</v>
      </c>
      <c r="L395">
        <v>800</v>
      </c>
      <c r="M395">
        <v>4800</v>
      </c>
      <c r="N395">
        <v>2400</v>
      </c>
      <c r="O395" s="4">
        <v>0.3</v>
      </c>
      <c r="P395">
        <v>2025</v>
      </c>
      <c r="Q395" t="s">
        <v>79</v>
      </c>
    </row>
    <row r="396" spans="1:17">
      <c r="A396" t="s">
        <v>566</v>
      </c>
      <c r="B396" s="2">
        <v>46346</v>
      </c>
      <c r="C396" t="s">
        <v>174</v>
      </c>
      <c r="D396" t="s">
        <v>50</v>
      </c>
      <c r="E396" t="s">
        <v>45</v>
      </c>
      <c r="F396" t="s">
        <v>168</v>
      </c>
      <c r="G396" s="3">
        <v>2</v>
      </c>
      <c r="H396">
        <v>100</v>
      </c>
      <c r="I396">
        <v>0.05</v>
      </c>
      <c r="J396">
        <v>40</v>
      </c>
      <c r="K396">
        <v>200</v>
      </c>
      <c r="L396">
        <v>10</v>
      </c>
      <c r="M396">
        <v>80</v>
      </c>
      <c r="N396">
        <v>110</v>
      </c>
      <c r="O396" s="4">
        <v>0.55000000000000004</v>
      </c>
      <c r="P396">
        <v>2026</v>
      </c>
      <c r="Q396" t="s">
        <v>98</v>
      </c>
    </row>
    <row r="397" spans="1:17">
      <c r="A397" t="s">
        <v>567</v>
      </c>
      <c r="B397" s="2">
        <v>45734</v>
      </c>
      <c r="C397" t="s">
        <v>291</v>
      </c>
      <c r="D397" t="s">
        <v>44</v>
      </c>
      <c r="E397" t="s">
        <v>82</v>
      </c>
      <c r="F397" t="s">
        <v>86</v>
      </c>
      <c r="G397" s="3">
        <v>2</v>
      </c>
      <c r="H397">
        <v>4500</v>
      </c>
      <c r="I397">
        <v>0.05</v>
      </c>
      <c r="J397">
        <v>3000</v>
      </c>
      <c r="K397">
        <v>9000</v>
      </c>
      <c r="L397">
        <v>450</v>
      </c>
      <c r="M397">
        <v>6000</v>
      </c>
      <c r="N397">
        <v>2550</v>
      </c>
      <c r="O397" s="4">
        <v>0.28333333333333333</v>
      </c>
      <c r="P397">
        <v>2025</v>
      </c>
      <c r="Q397" t="s">
        <v>57</v>
      </c>
    </row>
    <row r="398" spans="1:17">
      <c r="A398" t="s">
        <v>568</v>
      </c>
      <c r="B398" s="2">
        <v>45959</v>
      </c>
      <c r="C398" t="s">
        <v>186</v>
      </c>
      <c r="D398" t="s">
        <v>55</v>
      </c>
      <c r="E398" t="s">
        <v>82</v>
      </c>
      <c r="F398" t="s">
        <v>128</v>
      </c>
      <c r="G398" s="3">
        <v>6</v>
      </c>
      <c r="H398">
        <v>6000</v>
      </c>
      <c r="I398">
        <v>0.05</v>
      </c>
      <c r="J398">
        <v>4000</v>
      </c>
      <c r="K398">
        <v>36000</v>
      </c>
      <c r="L398">
        <v>1800</v>
      </c>
      <c r="M398">
        <v>24000</v>
      </c>
      <c r="N398">
        <v>10200</v>
      </c>
      <c r="O398" s="4">
        <v>0.28333333333333333</v>
      </c>
      <c r="P398">
        <v>2025</v>
      </c>
      <c r="Q398" t="s">
        <v>74</v>
      </c>
    </row>
    <row r="399" spans="1:17">
      <c r="A399" t="s">
        <v>569</v>
      </c>
      <c r="B399" s="2">
        <v>45983</v>
      </c>
      <c r="C399" t="s">
        <v>85</v>
      </c>
      <c r="D399" t="s">
        <v>55</v>
      </c>
      <c r="E399" t="s">
        <v>59</v>
      </c>
      <c r="F399" t="s">
        <v>77</v>
      </c>
      <c r="G399" s="3">
        <v>3</v>
      </c>
      <c r="H399">
        <v>1200</v>
      </c>
      <c r="I399">
        <v>0</v>
      </c>
      <c r="J399">
        <v>750</v>
      </c>
      <c r="K399">
        <v>3600</v>
      </c>
      <c r="L399">
        <v>0</v>
      </c>
      <c r="M399">
        <v>2250</v>
      </c>
      <c r="N399">
        <v>1350</v>
      </c>
      <c r="O399" s="4">
        <v>0.375</v>
      </c>
      <c r="P399">
        <v>2025</v>
      </c>
      <c r="Q399" t="s">
        <v>98</v>
      </c>
    </row>
    <row r="400" spans="1:17">
      <c r="A400" t="s">
        <v>570</v>
      </c>
      <c r="B400" s="2">
        <v>45892</v>
      </c>
      <c r="C400" t="s">
        <v>143</v>
      </c>
      <c r="D400" t="s">
        <v>50</v>
      </c>
      <c r="E400" t="s">
        <v>59</v>
      </c>
      <c r="F400" t="s">
        <v>77</v>
      </c>
      <c r="G400" s="3">
        <v>7</v>
      </c>
      <c r="H400">
        <v>1200</v>
      </c>
      <c r="I400">
        <v>0.05</v>
      </c>
      <c r="J400">
        <v>750</v>
      </c>
      <c r="K400">
        <v>8400</v>
      </c>
      <c r="L400">
        <v>420</v>
      </c>
      <c r="M400">
        <v>5250</v>
      </c>
      <c r="N400">
        <v>2730</v>
      </c>
      <c r="O400" s="4">
        <v>0.32500000000000001</v>
      </c>
      <c r="P400">
        <v>2025</v>
      </c>
      <c r="Q400" t="s">
        <v>71</v>
      </c>
    </row>
    <row r="401" spans="1:17">
      <c r="A401" t="s">
        <v>571</v>
      </c>
      <c r="B401" s="2">
        <v>45705</v>
      </c>
      <c r="C401" t="s">
        <v>387</v>
      </c>
      <c r="D401" t="s">
        <v>38</v>
      </c>
      <c r="E401" t="s">
        <v>45</v>
      </c>
      <c r="F401" t="s">
        <v>46</v>
      </c>
      <c r="G401" s="3">
        <v>8</v>
      </c>
      <c r="H401">
        <v>300</v>
      </c>
      <c r="I401">
        <v>0.15</v>
      </c>
      <c r="J401">
        <v>180</v>
      </c>
      <c r="K401">
        <v>2400</v>
      </c>
      <c r="L401">
        <v>360</v>
      </c>
      <c r="M401">
        <v>1440</v>
      </c>
      <c r="N401">
        <v>600</v>
      </c>
      <c r="O401" s="4">
        <v>0.25</v>
      </c>
      <c r="P401">
        <v>2025</v>
      </c>
      <c r="Q401" t="s">
        <v>87</v>
      </c>
    </row>
    <row r="402" spans="1:17">
      <c r="A402" t="s">
        <v>572</v>
      </c>
      <c r="B402" s="2">
        <v>46225</v>
      </c>
      <c r="C402" t="s">
        <v>230</v>
      </c>
      <c r="D402" t="s">
        <v>55</v>
      </c>
      <c r="E402" t="s">
        <v>45</v>
      </c>
      <c r="F402" t="s">
        <v>46</v>
      </c>
      <c r="G402" s="3">
        <v>2</v>
      </c>
      <c r="H402">
        <v>300</v>
      </c>
      <c r="I402">
        <v>0.05</v>
      </c>
      <c r="J402">
        <v>180</v>
      </c>
      <c r="K402">
        <v>600</v>
      </c>
      <c r="L402">
        <v>30</v>
      </c>
      <c r="M402">
        <v>360</v>
      </c>
      <c r="N402">
        <v>210</v>
      </c>
      <c r="O402" s="4">
        <v>0.35</v>
      </c>
      <c r="P402">
        <v>2026</v>
      </c>
      <c r="Q402" t="s">
        <v>68</v>
      </c>
    </row>
    <row r="403" spans="1:17">
      <c r="A403" t="s">
        <v>573</v>
      </c>
      <c r="B403" s="2">
        <v>46073</v>
      </c>
      <c r="C403" t="s">
        <v>469</v>
      </c>
      <c r="D403" t="s">
        <v>44</v>
      </c>
      <c r="E403" t="s">
        <v>39</v>
      </c>
      <c r="F403" t="s">
        <v>64</v>
      </c>
      <c r="G403" s="3">
        <v>7</v>
      </c>
      <c r="H403">
        <v>2000</v>
      </c>
      <c r="I403">
        <v>0.1</v>
      </c>
      <c r="J403">
        <v>1200</v>
      </c>
      <c r="K403">
        <v>14000</v>
      </c>
      <c r="L403">
        <v>1400</v>
      </c>
      <c r="M403">
        <v>8400</v>
      </c>
      <c r="N403">
        <v>4200</v>
      </c>
      <c r="O403" s="4">
        <v>0.3</v>
      </c>
      <c r="P403">
        <v>2026</v>
      </c>
      <c r="Q403" t="s">
        <v>87</v>
      </c>
    </row>
    <row r="404" spans="1:17">
      <c r="A404" t="s">
        <v>574</v>
      </c>
      <c r="B404" s="2">
        <v>46336</v>
      </c>
      <c r="C404" t="s">
        <v>155</v>
      </c>
      <c r="D404" t="s">
        <v>55</v>
      </c>
      <c r="E404" t="s">
        <v>39</v>
      </c>
      <c r="F404" t="s">
        <v>64</v>
      </c>
      <c r="G404" s="3">
        <v>1</v>
      </c>
      <c r="H404">
        <v>2000</v>
      </c>
      <c r="I404">
        <v>0</v>
      </c>
      <c r="J404">
        <v>1200</v>
      </c>
      <c r="K404">
        <v>2000</v>
      </c>
      <c r="L404">
        <v>0</v>
      </c>
      <c r="M404">
        <v>1200</v>
      </c>
      <c r="N404">
        <v>800</v>
      </c>
      <c r="O404" s="4">
        <v>0.4</v>
      </c>
      <c r="P404">
        <v>2026</v>
      </c>
      <c r="Q404" t="s">
        <v>98</v>
      </c>
    </row>
    <row r="405" spans="1:17">
      <c r="A405" t="s">
        <v>575</v>
      </c>
      <c r="B405" s="2">
        <v>45667</v>
      </c>
      <c r="C405" t="s">
        <v>162</v>
      </c>
      <c r="D405" t="s">
        <v>38</v>
      </c>
      <c r="E405" t="s">
        <v>45</v>
      </c>
      <c r="F405" t="s">
        <v>95</v>
      </c>
      <c r="G405" s="3">
        <v>2</v>
      </c>
      <c r="H405">
        <v>150</v>
      </c>
      <c r="I405">
        <v>0</v>
      </c>
      <c r="J405">
        <v>60</v>
      </c>
      <c r="K405">
        <v>300</v>
      </c>
      <c r="L405">
        <v>0</v>
      </c>
      <c r="M405">
        <v>120</v>
      </c>
      <c r="N405">
        <v>180</v>
      </c>
      <c r="O405" s="4">
        <v>0.6</v>
      </c>
      <c r="P405">
        <v>2025</v>
      </c>
      <c r="Q405" t="s">
        <v>47</v>
      </c>
    </row>
    <row r="406" spans="1:17">
      <c r="A406" t="s">
        <v>576</v>
      </c>
      <c r="B406" s="2">
        <v>45761</v>
      </c>
      <c r="C406" t="s">
        <v>172</v>
      </c>
      <c r="D406" t="s">
        <v>50</v>
      </c>
      <c r="E406" t="s">
        <v>45</v>
      </c>
      <c r="F406" t="s">
        <v>46</v>
      </c>
      <c r="G406" s="3">
        <v>7</v>
      </c>
      <c r="H406">
        <v>300</v>
      </c>
      <c r="I406">
        <v>0</v>
      </c>
      <c r="J406">
        <v>180</v>
      </c>
      <c r="K406">
        <v>2100</v>
      </c>
      <c r="L406">
        <v>0</v>
      </c>
      <c r="M406">
        <v>1260</v>
      </c>
      <c r="N406">
        <v>840</v>
      </c>
      <c r="O406" s="4">
        <v>0.4</v>
      </c>
      <c r="P406">
        <v>2025</v>
      </c>
      <c r="Q406" t="s">
        <v>79</v>
      </c>
    </row>
    <row r="407" spans="1:17">
      <c r="A407" t="s">
        <v>577</v>
      </c>
      <c r="B407" s="2">
        <v>46294</v>
      </c>
      <c r="C407" t="s">
        <v>469</v>
      </c>
      <c r="D407" t="s">
        <v>44</v>
      </c>
      <c r="E407" t="s">
        <v>82</v>
      </c>
      <c r="F407" t="s">
        <v>101</v>
      </c>
      <c r="G407" s="3">
        <v>5</v>
      </c>
      <c r="H407">
        <v>4000</v>
      </c>
      <c r="I407">
        <v>0.05</v>
      </c>
      <c r="J407">
        <v>2700</v>
      </c>
      <c r="K407">
        <v>20000</v>
      </c>
      <c r="L407">
        <v>1000</v>
      </c>
      <c r="M407">
        <v>13500</v>
      </c>
      <c r="N407">
        <v>5500</v>
      </c>
      <c r="O407" s="4">
        <v>0.27500000000000002</v>
      </c>
      <c r="P407">
        <v>2026</v>
      </c>
      <c r="Q407" t="s">
        <v>41</v>
      </c>
    </row>
    <row r="408" spans="1:17">
      <c r="A408" t="s">
        <v>578</v>
      </c>
      <c r="B408" s="2">
        <v>45747</v>
      </c>
      <c r="C408" t="s">
        <v>213</v>
      </c>
      <c r="D408" t="s">
        <v>55</v>
      </c>
      <c r="E408" t="s">
        <v>59</v>
      </c>
      <c r="F408" t="s">
        <v>77</v>
      </c>
      <c r="G408" s="3">
        <v>8</v>
      </c>
      <c r="H408">
        <v>1200</v>
      </c>
      <c r="I408">
        <v>0.1</v>
      </c>
      <c r="J408">
        <v>750</v>
      </c>
      <c r="K408">
        <v>9600</v>
      </c>
      <c r="L408">
        <v>960</v>
      </c>
      <c r="M408">
        <v>6000</v>
      </c>
      <c r="N408">
        <v>2640</v>
      </c>
      <c r="O408" s="4">
        <v>0.27500000000000002</v>
      </c>
      <c r="P408">
        <v>2025</v>
      </c>
      <c r="Q408" t="s">
        <v>57</v>
      </c>
    </row>
    <row r="409" spans="1:17">
      <c r="A409" t="s">
        <v>579</v>
      </c>
      <c r="B409" s="2">
        <v>46157</v>
      </c>
      <c r="C409" t="s">
        <v>124</v>
      </c>
      <c r="D409" t="s">
        <v>55</v>
      </c>
      <c r="E409" t="s">
        <v>39</v>
      </c>
      <c r="F409" t="s">
        <v>40</v>
      </c>
      <c r="G409" s="3">
        <v>1</v>
      </c>
      <c r="H409">
        <v>700</v>
      </c>
      <c r="I409">
        <v>0</v>
      </c>
      <c r="J409">
        <v>400</v>
      </c>
      <c r="K409">
        <v>700</v>
      </c>
      <c r="L409">
        <v>0</v>
      </c>
      <c r="M409">
        <v>400</v>
      </c>
      <c r="N409">
        <v>300</v>
      </c>
      <c r="O409" s="4">
        <v>0.42857142857142855</v>
      </c>
      <c r="P409">
        <v>2026</v>
      </c>
      <c r="Q409" t="s">
        <v>145</v>
      </c>
    </row>
    <row r="410" spans="1:17">
      <c r="A410" t="s">
        <v>580</v>
      </c>
      <c r="B410" s="2">
        <v>46355</v>
      </c>
      <c r="C410" t="s">
        <v>189</v>
      </c>
      <c r="D410" t="s">
        <v>50</v>
      </c>
      <c r="E410" t="s">
        <v>82</v>
      </c>
      <c r="F410" t="s">
        <v>83</v>
      </c>
      <c r="G410" s="3">
        <v>7</v>
      </c>
      <c r="H410">
        <v>3500</v>
      </c>
      <c r="I410">
        <v>0.05</v>
      </c>
      <c r="J410">
        <v>2200</v>
      </c>
      <c r="K410">
        <v>24500</v>
      </c>
      <c r="L410">
        <v>1225</v>
      </c>
      <c r="M410">
        <v>15400</v>
      </c>
      <c r="N410">
        <v>7875</v>
      </c>
      <c r="O410" s="4">
        <v>0.32142857142857145</v>
      </c>
      <c r="P410">
        <v>2026</v>
      </c>
      <c r="Q410" t="s">
        <v>98</v>
      </c>
    </row>
    <row r="411" spans="1:17">
      <c r="A411" t="s">
        <v>581</v>
      </c>
      <c r="B411" s="2">
        <v>46043</v>
      </c>
      <c r="C411" t="s">
        <v>236</v>
      </c>
      <c r="D411" t="s">
        <v>44</v>
      </c>
      <c r="E411" t="s">
        <v>82</v>
      </c>
      <c r="F411" t="s">
        <v>128</v>
      </c>
      <c r="G411" s="3">
        <v>8</v>
      </c>
      <c r="H411">
        <v>6000</v>
      </c>
      <c r="I411">
        <v>0.15</v>
      </c>
      <c r="J411">
        <v>4000</v>
      </c>
      <c r="K411">
        <v>48000</v>
      </c>
      <c r="L411">
        <v>7200</v>
      </c>
      <c r="M411">
        <v>32000</v>
      </c>
      <c r="N411">
        <v>8800</v>
      </c>
      <c r="O411" s="4">
        <v>0.18333333333333332</v>
      </c>
      <c r="P411">
        <v>2026</v>
      </c>
      <c r="Q411" t="s">
        <v>47</v>
      </c>
    </row>
    <row r="412" spans="1:17">
      <c r="A412" t="s">
        <v>582</v>
      </c>
      <c r="B412" s="2">
        <v>46332</v>
      </c>
      <c r="C412" t="s">
        <v>424</v>
      </c>
      <c r="D412" t="s">
        <v>50</v>
      </c>
      <c r="E412" t="s">
        <v>39</v>
      </c>
      <c r="F412" t="s">
        <v>40</v>
      </c>
      <c r="G412" s="3">
        <v>8</v>
      </c>
      <c r="H412">
        <v>700</v>
      </c>
      <c r="I412">
        <v>0</v>
      </c>
      <c r="J412">
        <v>400</v>
      </c>
      <c r="K412">
        <v>5600</v>
      </c>
      <c r="L412">
        <v>0</v>
      </c>
      <c r="M412">
        <v>3200</v>
      </c>
      <c r="N412">
        <v>2400</v>
      </c>
      <c r="O412" s="4">
        <v>0.42857142857142855</v>
      </c>
      <c r="P412">
        <v>2026</v>
      </c>
      <c r="Q412" t="s">
        <v>98</v>
      </c>
    </row>
    <row r="413" spans="1:17">
      <c r="A413" t="s">
        <v>583</v>
      </c>
      <c r="B413" s="2">
        <v>45831</v>
      </c>
      <c r="C413" t="s">
        <v>139</v>
      </c>
      <c r="D413" t="s">
        <v>44</v>
      </c>
      <c r="E413" t="s">
        <v>39</v>
      </c>
      <c r="F413" t="s">
        <v>56</v>
      </c>
      <c r="G413" s="3">
        <v>7</v>
      </c>
      <c r="H413">
        <v>800</v>
      </c>
      <c r="I413">
        <v>0.05</v>
      </c>
      <c r="J413">
        <v>450</v>
      </c>
      <c r="K413">
        <v>5600</v>
      </c>
      <c r="L413">
        <v>280</v>
      </c>
      <c r="M413">
        <v>3150</v>
      </c>
      <c r="N413">
        <v>2170</v>
      </c>
      <c r="O413" s="4">
        <v>0.38750000000000001</v>
      </c>
      <c r="P413">
        <v>2025</v>
      </c>
      <c r="Q413" t="s">
        <v>52</v>
      </c>
    </row>
    <row r="414" spans="1:17">
      <c r="A414" t="s">
        <v>584</v>
      </c>
      <c r="B414" s="2">
        <v>46191</v>
      </c>
      <c r="C414" t="s">
        <v>81</v>
      </c>
      <c r="D414" t="s">
        <v>55</v>
      </c>
      <c r="E414" t="s">
        <v>39</v>
      </c>
      <c r="F414" t="s">
        <v>56</v>
      </c>
      <c r="G414" s="3">
        <v>8</v>
      </c>
      <c r="H414">
        <v>800</v>
      </c>
      <c r="I414">
        <v>0.05</v>
      </c>
      <c r="J414">
        <v>450</v>
      </c>
      <c r="K414">
        <v>6400</v>
      </c>
      <c r="L414">
        <v>320</v>
      </c>
      <c r="M414">
        <v>3600</v>
      </c>
      <c r="N414">
        <v>2480</v>
      </c>
      <c r="O414" s="4">
        <v>0.38750000000000001</v>
      </c>
      <c r="P414">
        <v>2026</v>
      </c>
      <c r="Q414" t="s">
        <v>52</v>
      </c>
    </row>
    <row r="415" spans="1:17">
      <c r="A415" t="s">
        <v>585</v>
      </c>
      <c r="B415" s="2">
        <v>46120</v>
      </c>
      <c r="C415" t="s">
        <v>251</v>
      </c>
      <c r="D415" t="s">
        <v>44</v>
      </c>
      <c r="E415" t="s">
        <v>82</v>
      </c>
      <c r="F415" t="s">
        <v>86</v>
      </c>
      <c r="G415" s="3">
        <v>6</v>
      </c>
      <c r="H415">
        <v>4500</v>
      </c>
      <c r="I415">
        <v>0.05</v>
      </c>
      <c r="J415">
        <v>3000</v>
      </c>
      <c r="K415">
        <v>27000</v>
      </c>
      <c r="L415">
        <v>1350</v>
      </c>
      <c r="M415">
        <v>18000</v>
      </c>
      <c r="N415">
        <v>7650</v>
      </c>
      <c r="O415" s="4">
        <v>0.28333333333333333</v>
      </c>
      <c r="P415">
        <v>2026</v>
      </c>
      <c r="Q415" t="s">
        <v>79</v>
      </c>
    </row>
    <row r="416" spans="1:17">
      <c r="A416" t="s">
        <v>586</v>
      </c>
      <c r="B416" s="2">
        <v>45974</v>
      </c>
      <c r="C416" t="s">
        <v>37</v>
      </c>
      <c r="D416" t="s">
        <v>50</v>
      </c>
      <c r="E416" t="s">
        <v>82</v>
      </c>
      <c r="F416" t="s">
        <v>83</v>
      </c>
      <c r="G416" s="3">
        <v>5</v>
      </c>
      <c r="H416">
        <v>3500</v>
      </c>
      <c r="I416">
        <v>0</v>
      </c>
      <c r="J416">
        <v>2200</v>
      </c>
      <c r="K416">
        <v>17500</v>
      </c>
      <c r="L416">
        <v>0</v>
      </c>
      <c r="M416">
        <v>11000</v>
      </c>
      <c r="N416">
        <v>6500</v>
      </c>
      <c r="O416" s="4">
        <v>0.37142857142857144</v>
      </c>
      <c r="P416">
        <v>2025</v>
      </c>
      <c r="Q416" t="s">
        <v>98</v>
      </c>
    </row>
    <row r="417" spans="1:17">
      <c r="A417" t="s">
        <v>587</v>
      </c>
      <c r="B417" s="2">
        <v>45959</v>
      </c>
      <c r="C417" t="s">
        <v>81</v>
      </c>
      <c r="D417" t="s">
        <v>38</v>
      </c>
      <c r="E417" t="s">
        <v>45</v>
      </c>
      <c r="F417" t="s">
        <v>67</v>
      </c>
      <c r="G417" s="3">
        <v>5</v>
      </c>
      <c r="H417">
        <v>200</v>
      </c>
      <c r="I417">
        <v>0.05</v>
      </c>
      <c r="J417">
        <v>90</v>
      </c>
      <c r="K417">
        <v>1000</v>
      </c>
      <c r="L417">
        <v>50</v>
      </c>
      <c r="M417">
        <v>450</v>
      </c>
      <c r="N417">
        <v>500</v>
      </c>
      <c r="O417" s="4">
        <v>0.5</v>
      </c>
      <c r="P417">
        <v>2025</v>
      </c>
      <c r="Q417" t="s">
        <v>74</v>
      </c>
    </row>
    <row r="418" spans="1:17">
      <c r="A418" t="s">
        <v>588</v>
      </c>
      <c r="B418" s="2">
        <v>45743</v>
      </c>
      <c r="C418" t="s">
        <v>165</v>
      </c>
      <c r="D418" t="s">
        <v>55</v>
      </c>
      <c r="E418" t="s">
        <v>59</v>
      </c>
      <c r="F418" t="s">
        <v>90</v>
      </c>
      <c r="G418" s="3">
        <v>2</v>
      </c>
      <c r="H418">
        <v>9000</v>
      </c>
      <c r="I418">
        <v>0.05</v>
      </c>
      <c r="J418">
        <v>6500</v>
      </c>
      <c r="K418">
        <v>18000</v>
      </c>
      <c r="L418">
        <v>900</v>
      </c>
      <c r="M418">
        <v>13000</v>
      </c>
      <c r="N418">
        <v>4100</v>
      </c>
      <c r="O418" s="4">
        <v>0.22777777777777777</v>
      </c>
      <c r="P418">
        <v>2025</v>
      </c>
      <c r="Q418" t="s">
        <v>57</v>
      </c>
    </row>
    <row r="419" spans="1:17">
      <c r="A419" t="s">
        <v>589</v>
      </c>
      <c r="B419" s="2">
        <v>45919</v>
      </c>
      <c r="C419" t="s">
        <v>120</v>
      </c>
      <c r="D419" t="s">
        <v>55</v>
      </c>
      <c r="E419" t="s">
        <v>39</v>
      </c>
      <c r="F419" t="s">
        <v>51</v>
      </c>
      <c r="G419" s="3">
        <v>7</v>
      </c>
      <c r="H419">
        <v>250</v>
      </c>
      <c r="I419">
        <v>0.15</v>
      </c>
      <c r="J419">
        <v>100</v>
      </c>
      <c r="K419">
        <v>1750</v>
      </c>
      <c r="L419">
        <v>262.5</v>
      </c>
      <c r="M419">
        <v>700</v>
      </c>
      <c r="N419">
        <v>787.5</v>
      </c>
      <c r="O419" s="4">
        <v>0.45</v>
      </c>
      <c r="P419">
        <v>2025</v>
      </c>
      <c r="Q419" t="s">
        <v>41</v>
      </c>
    </row>
    <row r="420" spans="1:17">
      <c r="A420" t="s">
        <v>590</v>
      </c>
      <c r="B420" s="2">
        <v>45871</v>
      </c>
      <c r="C420" t="s">
        <v>222</v>
      </c>
      <c r="D420" t="s">
        <v>50</v>
      </c>
      <c r="E420" t="s">
        <v>45</v>
      </c>
      <c r="F420" t="s">
        <v>95</v>
      </c>
      <c r="G420" s="3">
        <v>2</v>
      </c>
      <c r="H420">
        <v>150</v>
      </c>
      <c r="I420">
        <v>0</v>
      </c>
      <c r="J420">
        <v>60</v>
      </c>
      <c r="K420">
        <v>300</v>
      </c>
      <c r="L420">
        <v>0</v>
      </c>
      <c r="M420">
        <v>120</v>
      </c>
      <c r="N420">
        <v>180</v>
      </c>
      <c r="O420" s="4">
        <v>0.6</v>
      </c>
      <c r="P420">
        <v>2025</v>
      </c>
      <c r="Q420" t="s">
        <v>71</v>
      </c>
    </row>
    <row r="421" spans="1:17">
      <c r="A421" t="s">
        <v>591</v>
      </c>
      <c r="B421" s="2">
        <v>46289</v>
      </c>
      <c r="C421" t="s">
        <v>157</v>
      </c>
      <c r="D421" t="s">
        <v>38</v>
      </c>
      <c r="E421" t="s">
        <v>59</v>
      </c>
      <c r="F421" t="s">
        <v>60</v>
      </c>
      <c r="G421" s="3">
        <v>7</v>
      </c>
      <c r="H421">
        <v>1500</v>
      </c>
      <c r="I421">
        <v>0.05</v>
      </c>
      <c r="J421">
        <v>900</v>
      </c>
      <c r="K421">
        <v>10500</v>
      </c>
      <c r="L421">
        <v>525</v>
      </c>
      <c r="M421">
        <v>6300</v>
      </c>
      <c r="N421">
        <v>3675</v>
      </c>
      <c r="O421" s="4">
        <v>0.35</v>
      </c>
      <c r="P421">
        <v>2026</v>
      </c>
      <c r="Q421" t="s">
        <v>41</v>
      </c>
    </row>
    <row r="422" spans="1:17">
      <c r="A422" t="s">
        <v>592</v>
      </c>
      <c r="B422" s="2">
        <v>46223</v>
      </c>
      <c r="C422" t="s">
        <v>81</v>
      </c>
      <c r="D422" t="s">
        <v>55</v>
      </c>
      <c r="E422" t="s">
        <v>39</v>
      </c>
      <c r="F422" t="s">
        <v>56</v>
      </c>
      <c r="G422" s="3">
        <v>3</v>
      </c>
      <c r="H422">
        <v>800</v>
      </c>
      <c r="I422">
        <v>0.05</v>
      </c>
      <c r="J422">
        <v>450</v>
      </c>
      <c r="K422">
        <v>2400</v>
      </c>
      <c r="L422">
        <v>120</v>
      </c>
      <c r="M422">
        <v>1350</v>
      </c>
      <c r="N422">
        <v>930</v>
      </c>
      <c r="O422" s="4">
        <v>0.38750000000000001</v>
      </c>
      <c r="P422">
        <v>2026</v>
      </c>
      <c r="Q422" t="s">
        <v>68</v>
      </c>
    </row>
    <row r="423" spans="1:17">
      <c r="A423" t="s">
        <v>593</v>
      </c>
      <c r="B423" s="2">
        <v>46194</v>
      </c>
      <c r="C423" t="s">
        <v>43</v>
      </c>
      <c r="D423" t="s">
        <v>38</v>
      </c>
      <c r="E423" t="s">
        <v>82</v>
      </c>
      <c r="F423" t="s">
        <v>83</v>
      </c>
      <c r="G423" s="3">
        <v>6</v>
      </c>
      <c r="H423">
        <v>3500</v>
      </c>
      <c r="I423">
        <v>0.1</v>
      </c>
      <c r="J423">
        <v>2200</v>
      </c>
      <c r="K423">
        <v>21000</v>
      </c>
      <c r="L423">
        <v>2100</v>
      </c>
      <c r="M423">
        <v>13200</v>
      </c>
      <c r="N423">
        <v>5700</v>
      </c>
      <c r="O423" s="4">
        <v>0.27142857142857141</v>
      </c>
      <c r="P423">
        <v>2026</v>
      </c>
      <c r="Q423" t="s">
        <v>52</v>
      </c>
    </row>
    <row r="424" spans="1:17">
      <c r="A424" t="s">
        <v>594</v>
      </c>
      <c r="B424" s="2">
        <v>45842</v>
      </c>
      <c r="C424" t="s">
        <v>268</v>
      </c>
      <c r="D424" t="s">
        <v>50</v>
      </c>
      <c r="E424" t="s">
        <v>39</v>
      </c>
      <c r="F424" t="s">
        <v>64</v>
      </c>
      <c r="G424" s="3">
        <v>1</v>
      </c>
      <c r="H424">
        <v>2000</v>
      </c>
      <c r="I424">
        <v>0.05</v>
      </c>
      <c r="J424">
        <v>1200</v>
      </c>
      <c r="K424">
        <v>2000</v>
      </c>
      <c r="L424">
        <v>100</v>
      </c>
      <c r="M424">
        <v>1200</v>
      </c>
      <c r="N424">
        <v>700</v>
      </c>
      <c r="O424" s="4">
        <v>0.35</v>
      </c>
      <c r="P424">
        <v>2025</v>
      </c>
      <c r="Q424" t="s">
        <v>68</v>
      </c>
    </row>
    <row r="425" spans="1:17">
      <c r="A425" t="s">
        <v>595</v>
      </c>
      <c r="B425" s="2">
        <v>45711</v>
      </c>
      <c r="C425" t="s">
        <v>155</v>
      </c>
      <c r="D425" t="s">
        <v>44</v>
      </c>
      <c r="E425" t="s">
        <v>39</v>
      </c>
      <c r="F425" t="s">
        <v>40</v>
      </c>
      <c r="G425" s="3">
        <v>1</v>
      </c>
      <c r="H425">
        <v>700</v>
      </c>
      <c r="I425">
        <v>0</v>
      </c>
      <c r="J425">
        <v>400</v>
      </c>
      <c r="K425">
        <v>700</v>
      </c>
      <c r="L425">
        <v>0</v>
      </c>
      <c r="M425">
        <v>400</v>
      </c>
      <c r="N425">
        <v>300</v>
      </c>
      <c r="O425" s="4">
        <v>0.42857142857142855</v>
      </c>
      <c r="P425">
        <v>2025</v>
      </c>
      <c r="Q425" t="s">
        <v>87</v>
      </c>
    </row>
    <row r="426" spans="1:17">
      <c r="A426" t="s">
        <v>596</v>
      </c>
      <c r="B426" s="2">
        <v>45865</v>
      </c>
      <c r="C426" t="s">
        <v>73</v>
      </c>
      <c r="D426" t="s">
        <v>55</v>
      </c>
      <c r="E426" t="s">
        <v>45</v>
      </c>
      <c r="F426" t="s">
        <v>67</v>
      </c>
      <c r="G426" s="3">
        <v>3</v>
      </c>
      <c r="H426">
        <v>200</v>
      </c>
      <c r="I426">
        <v>0.15</v>
      </c>
      <c r="J426">
        <v>90</v>
      </c>
      <c r="K426">
        <v>600</v>
      </c>
      <c r="L426">
        <v>90</v>
      </c>
      <c r="M426">
        <v>270</v>
      </c>
      <c r="N426">
        <v>240</v>
      </c>
      <c r="O426" s="4">
        <v>0.4</v>
      </c>
      <c r="P426">
        <v>2025</v>
      </c>
      <c r="Q426" t="s">
        <v>68</v>
      </c>
    </row>
    <row r="427" spans="1:17">
      <c r="A427" t="s">
        <v>597</v>
      </c>
      <c r="B427" s="2">
        <v>46229</v>
      </c>
      <c r="C427" t="s">
        <v>334</v>
      </c>
      <c r="D427" t="s">
        <v>44</v>
      </c>
      <c r="E427" t="s">
        <v>39</v>
      </c>
      <c r="F427" t="s">
        <v>56</v>
      </c>
      <c r="G427" s="3">
        <v>5</v>
      </c>
      <c r="H427">
        <v>800</v>
      </c>
      <c r="I427">
        <v>0.15</v>
      </c>
      <c r="J427">
        <v>450</v>
      </c>
      <c r="K427">
        <v>4000</v>
      </c>
      <c r="L427">
        <v>600</v>
      </c>
      <c r="M427">
        <v>2250</v>
      </c>
      <c r="N427">
        <v>1150</v>
      </c>
      <c r="O427" s="4">
        <v>0.28749999999999998</v>
      </c>
      <c r="P427">
        <v>2026</v>
      </c>
      <c r="Q427" t="s">
        <v>68</v>
      </c>
    </row>
    <row r="428" spans="1:17">
      <c r="A428" t="s">
        <v>598</v>
      </c>
      <c r="B428" s="2">
        <v>46351</v>
      </c>
      <c r="C428" t="s">
        <v>225</v>
      </c>
      <c r="D428" t="s">
        <v>38</v>
      </c>
      <c r="E428" t="s">
        <v>82</v>
      </c>
      <c r="F428" t="s">
        <v>83</v>
      </c>
      <c r="G428" s="3">
        <v>4</v>
      </c>
      <c r="H428">
        <v>3500</v>
      </c>
      <c r="I428">
        <v>0.1</v>
      </c>
      <c r="J428">
        <v>2200</v>
      </c>
      <c r="K428">
        <v>14000</v>
      </c>
      <c r="L428">
        <v>1400</v>
      </c>
      <c r="M428">
        <v>8800</v>
      </c>
      <c r="N428">
        <v>3800</v>
      </c>
      <c r="O428" s="4">
        <v>0.27142857142857141</v>
      </c>
      <c r="P428">
        <v>2026</v>
      </c>
      <c r="Q428" t="s">
        <v>98</v>
      </c>
    </row>
    <row r="429" spans="1:17">
      <c r="A429" t="s">
        <v>599</v>
      </c>
      <c r="B429" s="2">
        <v>46144</v>
      </c>
      <c r="C429" t="s">
        <v>85</v>
      </c>
      <c r="D429" t="s">
        <v>50</v>
      </c>
      <c r="E429" t="s">
        <v>39</v>
      </c>
      <c r="F429" t="s">
        <v>51</v>
      </c>
      <c r="G429" s="3">
        <v>2</v>
      </c>
      <c r="H429">
        <v>250</v>
      </c>
      <c r="I429">
        <v>0.1</v>
      </c>
      <c r="J429">
        <v>100</v>
      </c>
      <c r="K429">
        <v>500</v>
      </c>
      <c r="L429">
        <v>50</v>
      </c>
      <c r="M429">
        <v>200</v>
      </c>
      <c r="N429">
        <v>250</v>
      </c>
      <c r="O429" s="4">
        <v>0.5</v>
      </c>
      <c r="P429">
        <v>2026</v>
      </c>
      <c r="Q429" t="s">
        <v>145</v>
      </c>
    </row>
    <row r="430" spans="1:17">
      <c r="A430" t="s">
        <v>600</v>
      </c>
      <c r="B430" s="2">
        <v>46256</v>
      </c>
      <c r="C430" t="s">
        <v>66</v>
      </c>
      <c r="D430" t="s">
        <v>38</v>
      </c>
      <c r="E430" t="s">
        <v>45</v>
      </c>
      <c r="F430" t="s">
        <v>46</v>
      </c>
      <c r="G430" s="3">
        <v>1</v>
      </c>
      <c r="H430">
        <v>300</v>
      </c>
      <c r="I430">
        <v>0.05</v>
      </c>
      <c r="J430">
        <v>180</v>
      </c>
      <c r="K430">
        <v>300</v>
      </c>
      <c r="L430">
        <v>15</v>
      </c>
      <c r="M430">
        <v>180</v>
      </c>
      <c r="N430">
        <v>105</v>
      </c>
      <c r="O430" s="4">
        <v>0.35</v>
      </c>
      <c r="P430">
        <v>2026</v>
      </c>
      <c r="Q430" t="s">
        <v>71</v>
      </c>
    </row>
    <row r="431" spans="1:17">
      <c r="A431" t="s">
        <v>601</v>
      </c>
      <c r="B431" s="2">
        <v>46286</v>
      </c>
      <c r="C431" t="s">
        <v>49</v>
      </c>
      <c r="D431" t="s">
        <v>55</v>
      </c>
      <c r="E431" t="s">
        <v>82</v>
      </c>
      <c r="F431" t="s">
        <v>101</v>
      </c>
      <c r="G431" s="3">
        <v>5</v>
      </c>
      <c r="H431">
        <v>4000</v>
      </c>
      <c r="I431">
        <v>0.15</v>
      </c>
      <c r="J431">
        <v>2700</v>
      </c>
      <c r="K431">
        <v>20000</v>
      </c>
      <c r="L431">
        <v>3000</v>
      </c>
      <c r="M431">
        <v>13500</v>
      </c>
      <c r="N431">
        <v>3500</v>
      </c>
      <c r="O431" s="4">
        <v>0.17499999999999999</v>
      </c>
      <c r="P431">
        <v>2026</v>
      </c>
      <c r="Q431" t="s">
        <v>41</v>
      </c>
    </row>
    <row r="432" spans="1:17">
      <c r="A432" t="s">
        <v>602</v>
      </c>
      <c r="B432" s="2">
        <v>46039</v>
      </c>
      <c r="C432" t="s">
        <v>148</v>
      </c>
      <c r="D432" t="s">
        <v>55</v>
      </c>
      <c r="E432" t="s">
        <v>59</v>
      </c>
      <c r="F432" t="s">
        <v>60</v>
      </c>
      <c r="G432" s="3">
        <v>3</v>
      </c>
      <c r="H432">
        <v>1500</v>
      </c>
      <c r="I432">
        <v>0.15</v>
      </c>
      <c r="J432">
        <v>900</v>
      </c>
      <c r="K432">
        <v>4500</v>
      </c>
      <c r="L432">
        <v>675</v>
      </c>
      <c r="M432">
        <v>2700</v>
      </c>
      <c r="N432">
        <v>1125</v>
      </c>
      <c r="O432" s="4">
        <v>0.25</v>
      </c>
      <c r="P432">
        <v>2026</v>
      </c>
      <c r="Q432" t="s">
        <v>47</v>
      </c>
    </row>
    <row r="433" spans="1:17">
      <c r="A433" t="s">
        <v>603</v>
      </c>
      <c r="B433" s="2">
        <v>46029</v>
      </c>
      <c r="C433" t="s">
        <v>266</v>
      </c>
      <c r="D433" t="s">
        <v>55</v>
      </c>
      <c r="E433" t="s">
        <v>59</v>
      </c>
      <c r="F433" t="s">
        <v>60</v>
      </c>
      <c r="G433" s="3">
        <v>4</v>
      </c>
      <c r="H433">
        <v>1500</v>
      </c>
      <c r="I433">
        <v>0.15</v>
      </c>
      <c r="J433">
        <v>900</v>
      </c>
      <c r="K433">
        <v>6000</v>
      </c>
      <c r="L433">
        <v>900</v>
      </c>
      <c r="M433">
        <v>3600</v>
      </c>
      <c r="N433">
        <v>1500</v>
      </c>
      <c r="O433" s="4">
        <v>0.25</v>
      </c>
      <c r="P433">
        <v>2026</v>
      </c>
      <c r="Q433" t="s">
        <v>47</v>
      </c>
    </row>
    <row r="434" spans="1:17">
      <c r="A434" t="s">
        <v>604</v>
      </c>
      <c r="B434" s="2">
        <v>45911</v>
      </c>
      <c r="C434" t="s">
        <v>298</v>
      </c>
      <c r="D434" t="s">
        <v>44</v>
      </c>
      <c r="E434" t="s">
        <v>39</v>
      </c>
      <c r="F434" t="s">
        <v>51</v>
      </c>
      <c r="G434" s="3">
        <v>6</v>
      </c>
      <c r="H434">
        <v>250</v>
      </c>
      <c r="I434">
        <v>0.05</v>
      </c>
      <c r="J434">
        <v>100</v>
      </c>
      <c r="K434">
        <v>1500</v>
      </c>
      <c r="L434">
        <v>75</v>
      </c>
      <c r="M434">
        <v>600</v>
      </c>
      <c r="N434">
        <v>825</v>
      </c>
      <c r="O434" s="4">
        <v>0.55000000000000004</v>
      </c>
      <c r="P434">
        <v>2025</v>
      </c>
      <c r="Q434" t="s">
        <v>41</v>
      </c>
    </row>
    <row r="435" spans="1:17">
      <c r="A435" t="s">
        <v>605</v>
      </c>
      <c r="B435" s="2">
        <v>45949</v>
      </c>
      <c r="C435" t="s">
        <v>94</v>
      </c>
      <c r="D435" t="s">
        <v>44</v>
      </c>
      <c r="E435" t="s">
        <v>45</v>
      </c>
      <c r="F435" t="s">
        <v>168</v>
      </c>
      <c r="G435" s="3">
        <v>2</v>
      </c>
      <c r="H435">
        <v>100</v>
      </c>
      <c r="I435">
        <v>0</v>
      </c>
      <c r="J435">
        <v>40</v>
      </c>
      <c r="K435">
        <v>200</v>
      </c>
      <c r="L435">
        <v>0</v>
      </c>
      <c r="M435">
        <v>80</v>
      </c>
      <c r="N435">
        <v>120</v>
      </c>
      <c r="O435" s="4">
        <v>0.6</v>
      </c>
      <c r="P435">
        <v>2025</v>
      </c>
      <c r="Q435" t="s">
        <v>74</v>
      </c>
    </row>
    <row r="436" spans="1:17">
      <c r="A436" t="s">
        <v>606</v>
      </c>
      <c r="B436" s="2">
        <v>45916</v>
      </c>
      <c r="C436" t="s">
        <v>277</v>
      </c>
      <c r="D436" t="s">
        <v>55</v>
      </c>
      <c r="E436" t="s">
        <v>59</v>
      </c>
      <c r="F436" t="s">
        <v>90</v>
      </c>
      <c r="G436" s="3">
        <v>2</v>
      </c>
      <c r="H436">
        <v>9000</v>
      </c>
      <c r="I436">
        <v>0.15</v>
      </c>
      <c r="J436">
        <v>6500</v>
      </c>
      <c r="K436">
        <v>18000</v>
      </c>
      <c r="L436">
        <v>2700</v>
      </c>
      <c r="M436">
        <v>13000</v>
      </c>
      <c r="N436">
        <v>2300</v>
      </c>
      <c r="O436" s="4">
        <v>0.12777777777777777</v>
      </c>
      <c r="P436">
        <v>2025</v>
      </c>
      <c r="Q436" t="s">
        <v>41</v>
      </c>
    </row>
    <row r="437" spans="1:17">
      <c r="A437" t="s">
        <v>607</v>
      </c>
      <c r="B437" s="2">
        <v>46107</v>
      </c>
      <c r="C437" t="s">
        <v>369</v>
      </c>
      <c r="D437" t="s">
        <v>55</v>
      </c>
      <c r="E437" t="s">
        <v>45</v>
      </c>
      <c r="F437" t="s">
        <v>46</v>
      </c>
      <c r="G437" s="3">
        <v>5</v>
      </c>
      <c r="H437">
        <v>300</v>
      </c>
      <c r="I437">
        <v>0.15</v>
      </c>
      <c r="J437">
        <v>180</v>
      </c>
      <c r="K437">
        <v>1500</v>
      </c>
      <c r="L437">
        <v>225</v>
      </c>
      <c r="M437">
        <v>900</v>
      </c>
      <c r="N437">
        <v>375</v>
      </c>
      <c r="O437" s="4">
        <v>0.25</v>
      </c>
      <c r="P437">
        <v>2026</v>
      </c>
      <c r="Q437" t="s">
        <v>57</v>
      </c>
    </row>
    <row r="438" spans="1:17">
      <c r="A438" t="s">
        <v>608</v>
      </c>
      <c r="B438" s="2">
        <v>45954</v>
      </c>
      <c r="C438" t="s">
        <v>70</v>
      </c>
      <c r="D438" t="s">
        <v>55</v>
      </c>
      <c r="E438" t="s">
        <v>39</v>
      </c>
      <c r="F438" t="s">
        <v>64</v>
      </c>
      <c r="G438" s="3">
        <v>6</v>
      </c>
      <c r="H438">
        <v>2000</v>
      </c>
      <c r="I438">
        <v>0.05</v>
      </c>
      <c r="J438">
        <v>1200</v>
      </c>
      <c r="K438">
        <v>12000</v>
      </c>
      <c r="L438">
        <v>600</v>
      </c>
      <c r="M438">
        <v>7200</v>
      </c>
      <c r="N438">
        <v>4200</v>
      </c>
      <c r="O438" s="4">
        <v>0.35</v>
      </c>
      <c r="P438">
        <v>2025</v>
      </c>
      <c r="Q438" t="s">
        <v>74</v>
      </c>
    </row>
    <row r="439" spans="1:17">
      <c r="A439" t="s">
        <v>609</v>
      </c>
      <c r="B439" s="2">
        <v>46261</v>
      </c>
      <c r="C439" t="s">
        <v>266</v>
      </c>
      <c r="D439" t="s">
        <v>55</v>
      </c>
      <c r="E439" t="s">
        <v>59</v>
      </c>
      <c r="F439" t="s">
        <v>158</v>
      </c>
      <c r="G439" s="3">
        <v>6</v>
      </c>
      <c r="H439">
        <v>500</v>
      </c>
      <c r="I439">
        <v>0.05</v>
      </c>
      <c r="J439">
        <v>250</v>
      </c>
      <c r="K439">
        <v>3000</v>
      </c>
      <c r="L439">
        <v>150</v>
      </c>
      <c r="M439">
        <v>1500</v>
      </c>
      <c r="N439">
        <v>1350</v>
      </c>
      <c r="O439" s="4">
        <v>0.45</v>
      </c>
      <c r="P439">
        <v>2026</v>
      </c>
      <c r="Q439" t="s">
        <v>71</v>
      </c>
    </row>
    <row r="440" spans="1:17">
      <c r="A440" t="s">
        <v>610</v>
      </c>
      <c r="B440" s="2">
        <v>46095</v>
      </c>
      <c r="C440" t="s">
        <v>81</v>
      </c>
      <c r="D440" t="s">
        <v>55</v>
      </c>
      <c r="E440" t="s">
        <v>45</v>
      </c>
      <c r="F440" t="s">
        <v>168</v>
      </c>
      <c r="G440" s="3">
        <v>2</v>
      </c>
      <c r="H440">
        <v>100</v>
      </c>
      <c r="I440">
        <v>0.15</v>
      </c>
      <c r="J440">
        <v>40</v>
      </c>
      <c r="K440">
        <v>200</v>
      </c>
      <c r="L440">
        <v>30</v>
      </c>
      <c r="M440">
        <v>80</v>
      </c>
      <c r="N440">
        <v>90</v>
      </c>
      <c r="O440" s="4">
        <v>0.45</v>
      </c>
      <c r="P440">
        <v>2026</v>
      </c>
      <c r="Q440" t="s">
        <v>57</v>
      </c>
    </row>
    <row r="441" spans="1:17">
      <c r="A441" t="s">
        <v>611</v>
      </c>
      <c r="B441" s="2">
        <v>45816</v>
      </c>
      <c r="C441" t="s">
        <v>81</v>
      </c>
      <c r="D441" t="s">
        <v>55</v>
      </c>
      <c r="E441" t="s">
        <v>82</v>
      </c>
      <c r="F441" t="s">
        <v>128</v>
      </c>
      <c r="G441" s="3">
        <v>7</v>
      </c>
      <c r="H441">
        <v>6000</v>
      </c>
      <c r="I441">
        <v>0.05</v>
      </c>
      <c r="J441">
        <v>4000</v>
      </c>
      <c r="K441">
        <v>42000</v>
      </c>
      <c r="L441">
        <v>2100</v>
      </c>
      <c r="M441">
        <v>28000</v>
      </c>
      <c r="N441">
        <v>11900</v>
      </c>
      <c r="O441" s="4">
        <v>0.28333333333333333</v>
      </c>
      <c r="P441">
        <v>2025</v>
      </c>
      <c r="Q441" t="s">
        <v>52</v>
      </c>
    </row>
    <row r="442" spans="1:17">
      <c r="A442" t="s">
        <v>612</v>
      </c>
      <c r="B442" s="2">
        <v>45997</v>
      </c>
      <c r="C442" t="s">
        <v>151</v>
      </c>
      <c r="D442" t="s">
        <v>44</v>
      </c>
      <c r="E442" t="s">
        <v>39</v>
      </c>
      <c r="F442" t="s">
        <v>51</v>
      </c>
      <c r="G442" s="3">
        <v>1</v>
      </c>
      <c r="H442">
        <v>250</v>
      </c>
      <c r="I442">
        <v>0.1</v>
      </c>
      <c r="J442">
        <v>100</v>
      </c>
      <c r="K442">
        <v>250</v>
      </c>
      <c r="L442">
        <v>25</v>
      </c>
      <c r="M442">
        <v>100</v>
      </c>
      <c r="N442">
        <v>125</v>
      </c>
      <c r="O442" s="4">
        <v>0.5</v>
      </c>
      <c r="P442">
        <v>2025</v>
      </c>
      <c r="Q442" t="s">
        <v>61</v>
      </c>
    </row>
    <row r="443" spans="1:17">
      <c r="A443" t="s">
        <v>613</v>
      </c>
      <c r="B443" s="2">
        <v>46025</v>
      </c>
      <c r="C443" t="s">
        <v>294</v>
      </c>
      <c r="D443" t="s">
        <v>50</v>
      </c>
      <c r="E443" t="s">
        <v>82</v>
      </c>
      <c r="F443" t="s">
        <v>101</v>
      </c>
      <c r="G443" s="3">
        <v>2</v>
      </c>
      <c r="H443">
        <v>4000</v>
      </c>
      <c r="I443">
        <v>0.15</v>
      </c>
      <c r="J443">
        <v>2700</v>
      </c>
      <c r="K443">
        <v>8000</v>
      </c>
      <c r="L443">
        <v>1200</v>
      </c>
      <c r="M443">
        <v>5400</v>
      </c>
      <c r="N443">
        <v>1400</v>
      </c>
      <c r="O443" s="4">
        <v>0.17499999999999999</v>
      </c>
      <c r="P443">
        <v>2026</v>
      </c>
      <c r="Q443" t="s">
        <v>47</v>
      </c>
    </row>
    <row r="444" spans="1:17">
      <c r="A444" t="s">
        <v>614</v>
      </c>
      <c r="B444" s="2">
        <v>45728</v>
      </c>
      <c r="C444" t="s">
        <v>162</v>
      </c>
      <c r="D444" t="s">
        <v>55</v>
      </c>
      <c r="E444" t="s">
        <v>45</v>
      </c>
      <c r="F444" t="s">
        <v>95</v>
      </c>
      <c r="G444" s="3">
        <v>5</v>
      </c>
      <c r="H444">
        <v>150</v>
      </c>
      <c r="I444">
        <v>0</v>
      </c>
      <c r="J444">
        <v>60</v>
      </c>
      <c r="K444">
        <v>750</v>
      </c>
      <c r="L444">
        <v>0</v>
      </c>
      <c r="M444">
        <v>300</v>
      </c>
      <c r="N444">
        <v>450</v>
      </c>
      <c r="O444" s="4">
        <v>0.6</v>
      </c>
      <c r="P444">
        <v>2025</v>
      </c>
      <c r="Q444" t="s">
        <v>57</v>
      </c>
    </row>
    <row r="445" spans="1:17">
      <c r="A445" t="s">
        <v>615</v>
      </c>
      <c r="B445" s="2">
        <v>45661</v>
      </c>
      <c r="C445" t="s">
        <v>94</v>
      </c>
      <c r="D445" t="s">
        <v>50</v>
      </c>
      <c r="E445" t="s">
        <v>39</v>
      </c>
      <c r="F445" t="s">
        <v>64</v>
      </c>
      <c r="G445" s="3">
        <v>1</v>
      </c>
      <c r="H445">
        <v>2000</v>
      </c>
      <c r="I445">
        <v>0.1</v>
      </c>
      <c r="J445">
        <v>1200</v>
      </c>
      <c r="K445">
        <v>2000</v>
      </c>
      <c r="L445">
        <v>200</v>
      </c>
      <c r="M445">
        <v>1200</v>
      </c>
      <c r="N445">
        <v>600</v>
      </c>
      <c r="O445" s="4">
        <v>0.3</v>
      </c>
      <c r="P445">
        <v>2025</v>
      </c>
      <c r="Q445" t="s">
        <v>47</v>
      </c>
    </row>
    <row r="446" spans="1:17">
      <c r="A446" t="s">
        <v>616</v>
      </c>
      <c r="B446" s="2">
        <v>46139</v>
      </c>
      <c r="C446" t="s">
        <v>160</v>
      </c>
      <c r="D446" t="s">
        <v>44</v>
      </c>
      <c r="E446" t="s">
        <v>82</v>
      </c>
      <c r="F446" t="s">
        <v>83</v>
      </c>
      <c r="G446" s="3">
        <v>1</v>
      </c>
      <c r="H446">
        <v>3500</v>
      </c>
      <c r="I446">
        <v>0.15</v>
      </c>
      <c r="J446">
        <v>2200</v>
      </c>
      <c r="K446">
        <v>3500</v>
      </c>
      <c r="L446">
        <v>525</v>
      </c>
      <c r="M446">
        <v>2200</v>
      </c>
      <c r="N446">
        <v>775</v>
      </c>
      <c r="O446" s="4">
        <v>0.22142857142857142</v>
      </c>
      <c r="P446">
        <v>2026</v>
      </c>
      <c r="Q446" t="s">
        <v>79</v>
      </c>
    </row>
    <row r="447" spans="1:17">
      <c r="A447" t="s">
        <v>617</v>
      </c>
      <c r="B447" s="2">
        <v>46300</v>
      </c>
      <c r="C447" t="s">
        <v>242</v>
      </c>
      <c r="D447" t="s">
        <v>55</v>
      </c>
      <c r="E447" t="s">
        <v>39</v>
      </c>
      <c r="F447" t="s">
        <v>56</v>
      </c>
      <c r="G447" s="3">
        <v>8</v>
      </c>
      <c r="H447">
        <v>800</v>
      </c>
      <c r="I447">
        <v>0</v>
      </c>
      <c r="J447">
        <v>450</v>
      </c>
      <c r="K447">
        <v>6400</v>
      </c>
      <c r="L447">
        <v>0</v>
      </c>
      <c r="M447">
        <v>3600</v>
      </c>
      <c r="N447">
        <v>2800</v>
      </c>
      <c r="O447" s="4">
        <v>0.4375</v>
      </c>
      <c r="P447">
        <v>2026</v>
      </c>
      <c r="Q447" t="s">
        <v>74</v>
      </c>
    </row>
    <row r="448" spans="1:17">
      <c r="A448" t="s">
        <v>618</v>
      </c>
      <c r="B448" s="2">
        <v>46074</v>
      </c>
      <c r="C448" t="s">
        <v>70</v>
      </c>
      <c r="D448" t="s">
        <v>44</v>
      </c>
      <c r="E448" t="s">
        <v>59</v>
      </c>
      <c r="F448" t="s">
        <v>77</v>
      </c>
      <c r="G448" s="3">
        <v>5</v>
      </c>
      <c r="H448">
        <v>1200</v>
      </c>
      <c r="I448">
        <v>0.1</v>
      </c>
      <c r="J448">
        <v>750</v>
      </c>
      <c r="K448">
        <v>6000</v>
      </c>
      <c r="L448">
        <v>600</v>
      </c>
      <c r="M448">
        <v>3750</v>
      </c>
      <c r="N448">
        <v>1650</v>
      </c>
      <c r="O448" s="4">
        <v>0.27500000000000002</v>
      </c>
      <c r="P448">
        <v>2026</v>
      </c>
      <c r="Q448" t="s">
        <v>87</v>
      </c>
    </row>
    <row r="449" spans="1:17">
      <c r="A449" t="s">
        <v>619</v>
      </c>
      <c r="B449" s="2">
        <v>45922</v>
      </c>
      <c r="C449" t="s">
        <v>220</v>
      </c>
      <c r="D449" t="s">
        <v>50</v>
      </c>
      <c r="E449" t="s">
        <v>82</v>
      </c>
      <c r="F449" t="s">
        <v>86</v>
      </c>
      <c r="G449" s="3">
        <v>4</v>
      </c>
      <c r="H449">
        <v>4500</v>
      </c>
      <c r="I449">
        <v>0.15</v>
      </c>
      <c r="J449">
        <v>3000</v>
      </c>
      <c r="K449">
        <v>18000</v>
      </c>
      <c r="L449">
        <v>2700</v>
      </c>
      <c r="M449">
        <v>12000</v>
      </c>
      <c r="N449">
        <v>3300</v>
      </c>
      <c r="O449" s="4">
        <v>0.18333333333333332</v>
      </c>
      <c r="P449">
        <v>2025</v>
      </c>
      <c r="Q449" t="s">
        <v>41</v>
      </c>
    </row>
    <row r="450" spans="1:17">
      <c r="A450" t="s">
        <v>620</v>
      </c>
      <c r="B450" s="2">
        <v>46019</v>
      </c>
      <c r="C450" t="s">
        <v>170</v>
      </c>
      <c r="D450" t="s">
        <v>50</v>
      </c>
      <c r="E450" t="s">
        <v>39</v>
      </c>
      <c r="F450" t="s">
        <v>40</v>
      </c>
      <c r="G450" s="3">
        <v>8</v>
      </c>
      <c r="H450">
        <v>700</v>
      </c>
      <c r="I450">
        <v>0</v>
      </c>
      <c r="J450">
        <v>400</v>
      </c>
      <c r="K450">
        <v>5600</v>
      </c>
      <c r="L450">
        <v>0</v>
      </c>
      <c r="M450">
        <v>3200</v>
      </c>
      <c r="N450">
        <v>2400</v>
      </c>
      <c r="O450" s="4">
        <v>0.42857142857142855</v>
      </c>
      <c r="P450">
        <v>2025</v>
      </c>
      <c r="Q450" t="s">
        <v>61</v>
      </c>
    </row>
    <row r="451" spans="1:17">
      <c r="A451" t="s">
        <v>621</v>
      </c>
      <c r="B451" s="2">
        <v>46119</v>
      </c>
      <c r="C451" t="s">
        <v>341</v>
      </c>
      <c r="D451" t="s">
        <v>44</v>
      </c>
      <c r="E451" t="s">
        <v>59</v>
      </c>
      <c r="F451" t="s">
        <v>158</v>
      </c>
      <c r="G451" s="3">
        <v>5</v>
      </c>
      <c r="H451">
        <v>500</v>
      </c>
      <c r="I451">
        <v>0</v>
      </c>
      <c r="J451">
        <v>250</v>
      </c>
      <c r="K451">
        <v>2500</v>
      </c>
      <c r="L451">
        <v>0</v>
      </c>
      <c r="M451">
        <v>1250</v>
      </c>
      <c r="N451">
        <v>1250</v>
      </c>
      <c r="O451" s="4">
        <v>0.5</v>
      </c>
      <c r="P451">
        <v>2026</v>
      </c>
      <c r="Q451" t="s">
        <v>79</v>
      </c>
    </row>
    <row r="452" spans="1:17">
      <c r="A452" t="s">
        <v>622</v>
      </c>
      <c r="B452" s="2">
        <v>45855</v>
      </c>
      <c r="C452" t="s">
        <v>176</v>
      </c>
      <c r="D452" t="s">
        <v>55</v>
      </c>
      <c r="E452" t="s">
        <v>39</v>
      </c>
      <c r="F452" t="s">
        <v>51</v>
      </c>
      <c r="G452" s="3">
        <v>4</v>
      </c>
      <c r="H452">
        <v>250</v>
      </c>
      <c r="I452">
        <v>0.15</v>
      </c>
      <c r="J452">
        <v>100</v>
      </c>
      <c r="K452">
        <v>1000</v>
      </c>
      <c r="L452">
        <v>150</v>
      </c>
      <c r="M452">
        <v>400</v>
      </c>
      <c r="N452">
        <v>450</v>
      </c>
      <c r="O452" s="4">
        <v>0.45</v>
      </c>
      <c r="P452">
        <v>2025</v>
      </c>
      <c r="Q452" t="s">
        <v>68</v>
      </c>
    </row>
    <row r="453" spans="1:17">
      <c r="A453" t="s">
        <v>623</v>
      </c>
      <c r="B453" s="2">
        <v>45663</v>
      </c>
      <c r="C453" t="s">
        <v>336</v>
      </c>
      <c r="D453" t="s">
        <v>55</v>
      </c>
      <c r="E453" t="s">
        <v>82</v>
      </c>
      <c r="F453" t="s">
        <v>86</v>
      </c>
      <c r="G453" s="3">
        <v>2</v>
      </c>
      <c r="H453">
        <v>4500</v>
      </c>
      <c r="I453">
        <v>0.1</v>
      </c>
      <c r="J453">
        <v>3000</v>
      </c>
      <c r="K453">
        <v>9000</v>
      </c>
      <c r="L453">
        <v>900</v>
      </c>
      <c r="M453">
        <v>6000</v>
      </c>
      <c r="N453">
        <v>2100</v>
      </c>
      <c r="O453" s="4">
        <v>0.23333333333333334</v>
      </c>
      <c r="P453">
        <v>2025</v>
      </c>
      <c r="Q453" t="s">
        <v>47</v>
      </c>
    </row>
    <row r="454" spans="1:17">
      <c r="A454" t="s">
        <v>624</v>
      </c>
      <c r="B454" s="2">
        <v>46074</v>
      </c>
      <c r="C454" t="s">
        <v>106</v>
      </c>
      <c r="D454" t="s">
        <v>55</v>
      </c>
      <c r="E454" t="s">
        <v>59</v>
      </c>
      <c r="F454" t="s">
        <v>90</v>
      </c>
      <c r="G454" s="3">
        <v>5</v>
      </c>
      <c r="H454">
        <v>9000</v>
      </c>
      <c r="I454">
        <v>0</v>
      </c>
      <c r="J454">
        <v>6500</v>
      </c>
      <c r="K454">
        <v>45000</v>
      </c>
      <c r="L454">
        <v>0</v>
      </c>
      <c r="M454">
        <v>32500</v>
      </c>
      <c r="N454">
        <v>12500</v>
      </c>
      <c r="O454" s="4">
        <v>0.27777777777777779</v>
      </c>
      <c r="P454">
        <v>2026</v>
      </c>
      <c r="Q454" t="s">
        <v>87</v>
      </c>
    </row>
    <row r="455" spans="1:17">
      <c r="A455" t="s">
        <v>625</v>
      </c>
      <c r="B455" s="2">
        <v>46081</v>
      </c>
      <c r="C455" t="s">
        <v>106</v>
      </c>
      <c r="D455" t="s">
        <v>55</v>
      </c>
      <c r="E455" t="s">
        <v>45</v>
      </c>
      <c r="F455" t="s">
        <v>67</v>
      </c>
      <c r="G455" s="3">
        <v>6</v>
      </c>
      <c r="H455">
        <v>200</v>
      </c>
      <c r="I455">
        <v>0.15</v>
      </c>
      <c r="J455">
        <v>90</v>
      </c>
      <c r="K455">
        <v>1200</v>
      </c>
      <c r="L455">
        <v>180</v>
      </c>
      <c r="M455">
        <v>540</v>
      </c>
      <c r="N455">
        <v>480</v>
      </c>
      <c r="O455" s="4">
        <v>0.4</v>
      </c>
      <c r="P455">
        <v>2026</v>
      </c>
      <c r="Q455" t="s">
        <v>87</v>
      </c>
    </row>
    <row r="456" spans="1:17">
      <c r="A456" t="s">
        <v>626</v>
      </c>
      <c r="B456" s="2">
        <v>46252</v>
      </c>
      <c r="C456" t="s">
        <v>424</v>
      </c>
      <c r="D456" t="s">
        <v>50</v>
      </c>
      <c r="E456" t="s">
        <v>45</v>
      </c>
      <c r="F456" t="s">
        <v>67</v>
      </c>
      <c r="G456" s="3">
        <v>2</v>
      </c>
      <c r="H456">
        <v>200</v>
      </c>
      <c r="I456">
        <v>0.05</v>
      </c>
      <c r="J456">
        <v>90</v>
      </c>
      <c r="K456">
        <v>400</v>
      </c>
      <c r="L456">
        <v>20</v>
      </c>
      <c r="M456">
        <v>180</v>
      </c>
      <c r="N456">
        <v>200</v>
      </c>
      <c r="O456" s="4">
        <v>0.5</v>
      </c>
      <c r="P456">
        <v>2026</v>
      </c>
      <c r="Q456" t="s">
        <v>71</v>
      </c>
    </row>
    <row r="457" spans="1:17">
      <c r="A457" t="s">
        <v>627</v>
      </c>
      <c r="B457" s="2">
        <v>46323</v>
      </c>
      <c r="C457" t="s">
        <v>122</v>
      </c>
      <c r="D457" t="s">
        <v>44</v>
      </c>
      <c r="E457" t="s">
        <v>82</v>
      </c>
      <c r="F457" t="s">
        <v>86</v>
      </c>
      <c r="G457" s="3">
        <v>5</v>
      </c>
      <c r="H457">
        <v>4500</v>
      </c>
      <c r="I457">
        <v>0.15</v>
      </c>
      <c r="J457">
        <v>3000</v>
      </c>
      <c r="K457">
        <v>22500</v>
      </c>
      <c r="L457">
        <v>3375</v>
      </c>
      <c r="M457">
        <v>15000</v>
      </c>
      <c r="N457">
        <v>4125</v>
      </c>
      <c r="O457" s="4">
        <v>0.18333333333333332</v>
      </c>
      <c r="P457">
        <v>2026</v>
      </c>
      <c r="Q457" t="s">
        <v>74</v>
      </c>
    </row>
    <row r="458" spans="1:17">
      <c r="A458" t="s">
        <v>628</v>
      </c>
      <c r="B458" s="2">
        <v>46204</v>
      </c>
      <c r="C458" t="s">
        <v>270</v>
      </c>
      <c r="D458" t="s">
        <v>55</v>
      </c>
      <c r="E458" t="s">
        <v>45</v>
      </c>
      <c r="F458" t="s">
        <v>168</v>
      </c>
      <c r="G458" s="3">
        <v>8</v>
      </c>
      <c r="H458">
        <v>100</v>
      </c>
      <c r="I458">
        <v>0.05</v>
      </c>
      <c r="J458">
        <v>40</v>
      </c>
      <c r="K458">
        <v>800</v>
      </c>
      <c r="L458">
        <v>40</v>
      </c>
      <c r="M458">
        <v>320</v>
      </c>
      <c r="N458">
        <v>440</v>
      </c>
      <c r="O458" s="4">
        <v>0.55000000000000004</v>
      </c>
      <c r="P458">
        <v>2026</v>
      </c>
      <c r="Q458" t="s">
        <v>68</v>
      </c>
    </row>
    <row r="459" spans="1:17">
      <c r="A459" t="s">
        <v>629</v>
      </c>
      <c r="B459" s="2">
        <v>46226</v>
      </c>
      <c r="C459" t="s">
        <v>85</v>
      </c>
      <c r="D459" t="s">
        <v>55</v>
      </c>
      <c r="E459" t="s">
        <v>39</v>
      </c>
      <c r="F459" t="s">
        <v>56</v>
      </c>
      <c r="G459" s="3">
        <v>2</v>
      </c>
      <c r="H459">
        <v>800</v>
      </c>
      <c r="I459">
        <v>0.15</v>
      </c>
      <c r="J459">
        <v>450</v>
      </c>
      <c r="K459">
        <v>1600</v>
      </c>
      <c r="L459">
        <v>240</v>
      </c>
      <c r="M459">
        <v>900</v>
      </c>
      <c r="N459">
        <v>460</v>
      </c>
      <c r="O459" s="4">
        <v>0.28749999999999998</v>
      </c>
      <c r="P459">
        <v>2026</v>
      </c>
      <c r="Q459" t="s">
        <v>68</v>
      </c>
    </row>
    <row r="460" spans="1:17">
      <c r="A460" t="s">
        <v>630</v>
      </c>
      <c r="B460" s="2">
        <v>46366</v>
      </c>
      <c r="C460" t="s">
        <v>347</v>
      </c>
      <c r="D460" t="s">
        <v>50</v>
      </c>
      <c r="E460" t="s">
        <v>82</v>
      </c>
      <c r="F460" t="s">
        <v>83</v>
      </c>
      <c r="G460" s="3">
        <v>2</v>
      </c>
      <c r="H460">
        <v>3500</v>
      </c>
      <c r="I460">
        <v>0.1</v>
      </c>
      <c r="J460">
        <v>2200</v>
      </c>
      <c r="K460">
        <v>7000</v>
      </c>
      <c r="L460">
        <v>700</v>
      </c>
      <c r="M460">
        <v>4400</v>
      </c>
      <c r="N460">
        <v>1900</v>
      </c>
      <c r="O460" s="4">
        <v>0.27142857142857141</v>
      </c>
      <c r="P460">
        <v>2026</v>
      </c>
      <c r="Q460" t="s">
        <v>61</v>
      </c>
    </row>
    <row r="461" spans="1:17">
      <c r="A461" t="s">
        <v>631</v>
      </c>
      <c r="B461" s="2">
        <v>46374</v>
      </c>
      <c r="C461" t="s">
        <v>291</v>
      </c>
      <c r="D461" t="s">
        <v>55</v>
      </c>
      <c r="E461" t="s">
        <v>45</v>
      </c>
      <c r="F461" t="s">
        <v>168</v>
      </c>
      <c r="G461" s="3">
        <v>8</v>
      </c>
      <c r="H461">
        <v>100</v>
      </c>
      <c r="I461">
        <v>0.15</v>
      </c>
      <c r="J461">
        <v>40</v>
      </c>
      <c r="K461">
        <v>800</v>
      </c>
      <c r="L461">
        <v>120</v>
      </c>
      <c r="M461">
        <v>320</v>
      </c>
      <c r="N461">
        <v>360</v>
      </c>
      <c r="O461" s="4">
        <v>0.45</v>
      </c>
      <c r="P461">
        <v>2026</v>
      </c>
      <c r="Q461" t="s">
        <v>61</v>
      </c>
    </row>
    <row r="462" spans="1:17">
      <c r="A462" t="s">
        <v>632</v>
      </c>
      <c r="B462" s="2">
        <v>45880</v>
      </c>
      <c r="C462" t="s">
        <v>73</v>
      </c>
      <c r="D462" t="s">
        <v>44</v>
      </c>
      <c r="E462" t="s">
        <v>82</v>
      </c>
      <c r="F462" t="s">
        <v>86</v>
      </c>
      <c r="G462" s="3">
        <v>2</v>
      </c>
      <c r="H462">
        <v>4500</v>
      </c>
      <c r="I462">
        <v>0</v>
      </c>
      <c r="J462">
        <v>3000</v>
      </c>
      <c r="K462">
        <v>9000</v>
      </c>
      <c r="L462">
        <v>0</v>
      </c>
      <c r="M462">
        <v>6000</v>
      </c>
      <c r="N462">
        <v>3000</v>
      </c>
      <c r="O462" s="4">
        <v>0.33333333333333331</v>
      </c>
      <c r="P462">
        <v>2025</v>
      </c>
      <c r="Q462" t="s">
        <v>71</v>
      </c>
    </row>
    <row r="463" spans="1:17">
      <c r="A463" t="s">
        <v>633</v>
      </c>
      <c r="B463" s="2">
        <v>46093</v>
      </c>
      <c r="C463" t="s">
        <v>336</v>
      </c>
      <c r="D463" t="s">
        <v>44</v>
      </c>
      <c r="E463" t="s">
        <v>82</v>
      </c>
      <c r="F463" t="s">
        <v>128</v>
      </c>
      <c r="G463" s="3">
        <v>6</v>
      </c>
      <c r="H463">
        <v>6000</v>
      </c>
      <c r="I463">
        <v>0.1</v>
      </c>
      <c r="J463">
        <v>4000</v>
      </c>
      <c r="K463">
        <v>36000</v>
      </c>
      <c r="L463">
        <v>3600</v>
      </c>
      <c r="M463">
        <v>24000</v>
      </c>
      <c r="N463">
        <v>8400</v>
      </c>
      <c r="O463" s="4">
        <v>0.23333333333333334</v>
      </c>
      <c r="P463">
        <v>2026</v>
      </c>
      <c r="Q463" t="s">
        <v>57</v>
      </c>
    </row>
    <row r="464" spans="1:17">
      <c r="A464" t="s">
        <v>634</v>
      </c>
      <c r="B464" s="2">
        <v>45791</v>
      </c>
      <c r="C464" t="s">
        <v>418</v>
      </c>
      <c r="D464" t="s">
        <v>38</v>
      </c>
      <c r="E464" t="s">
        <v>59</v>
      </c>
      <c r="F464" t="s">
        <v>158</v>
      </c>
      <c r="G464" s="3">
        <v>6</v>
      </c>
      <c r="H464">
        <v>500</v>
      </c>
      <c r="I464">
        <v>0.15</v>
      </c>
      <c r="J464">
        <v>250</v>
      </c>
      <c r="K464">
        <v>3000</v>
      </c>
      <c r="L464">
        <v>450</v>
      </c>
      <c r="M464">
        <v>1500</v>
      </c>
      <c r="N464">
        <v>1050</v>
      </c>
      <c r="O464" s="4">
        <v>0.35</v>
      </c>
      <c r="P464">
        <v>2025</v>
      </c>
      <c r="Q464" t="s">
        <v>145</v>
      </c>
    </row>
    <row r="465" spans="1:17">
      <c r="A465" t="s">
        <v>635</v>
      </c>
      <c r="B465" s="2">
        <v>45977</v>
      </c>
      <c r="C465" t="s">
        <v>176</v>
      </c>
      <c r="D465" t="s">
        <v>38</v>
      </c>
      <c r="E465" t="s">
        <v>39</v>
      </c>
      <c r="F465" t="s">
        <v>40</v>
      </c>
      <c r="G465" s="3">
        <v>7</v>
      </c>
      <c r="H465">
        <v>700</v>
      </c>
      <c r="I465">
        <v>0.15</v>
      </c>
      <c r="J465">
        <v>400</v>
      </c>
      <c r="K465">
        <v>4900</v>
      </c>
      <c r="L465">
        <v>735</v>
      </c>
      <c r="M465">
        <v>2800</v>
      </c>
      <c r="N465">
        <v>1365</v>
      </c>
      <c r="O465" s="4">
        <v>0.27857142857142858</v>
      </c>
      <c r="P465">
        <v>2025</v>
      </c>
      <c r="Q465" t="s">
        <v>98</v>
      </c>
    </row>
    <row r="466" spans="1:17">
      <c r="A466" t="s">
        <v>636</v>
      </c>
      <c r="B466" s="2">
        <v>46328</v>
      </c>
      <c r="C466" t="s">
        <v>170</v>
      </c>
      <c r="D466" t="s">
        <v>44</v>
      </c>
      <c r="E466" t="s">
        <v>59</v>
      </c>
      <c r="F466" t="s">
        <v>60</v>
      </c>
      <c r="G466" s="3">
        <v>7</v>
      </c>
      <c r="H466">
        <v>1500</v>
      </c>
      <c r="I466">
        <v>0.15</v>
      </c>
      <c r="J466">
        <v>900</v>
      </c>
      <c r="K466">
        <v>10500</v>
      </c>
      <c r="L466">
        <v>1575</v>
      </c>
      <c r="M466">
        <v>6300</v>
      </c>
      <c r="N466">
        <v>2625</v>
      </c>
      <c r="O466" s="4">
        <v>0.25</v>
      </c>
      <c r="P466">
        <v>2026</v>
      </c>
      <c r="Q466" t="s">
        <v>98</v>
      </c>
    </row>
    <row r="467" spans="1:17">
      <c r="A467" t="s">
        <v>637</v>
      </c>
      <c r="B467" s="2">
        <v>45705</v>
      </c>
      <c r="C467" t="s">
        <v>155</v>
      </c>
      <c r="D467" t="s">
        <v>44</v>
      </c>
      <c r="E467" t="s">
        <v>59</v>
      </c>
      <c r="F467" t="s">
        <v>158</v>
      </c>
      <c r="G467" s="3">
        <v>8</v>
      </c>
      <c r="H467">
        <v>500</v>
      </c>
      <c r="I467">
        <v>0.15</v>
      </c>
      <c r="J467">
        <v>250</v>
      </c>
      <c r="K467">
        <v>4000</v>
      </c>
      <c r="L467">
        <v>600</v>
      </c>
      <c r="M467">
        <v>2000</v>
      </c>
      <c r="N467">
        <v>1400</v>
      </c>
      <c r="O467" s="4">
        <v>0.35</v>
      </c>
      <c r="P467">
        <v>2025</v>
      </c>
      <c r="Q467" t="s">
        <v>87</v>
      </c>
    </row>
    <row r="468" spans="1:17">
      <c r="A468" t="s">
        <v>638</v>
      </c>
      <c r="B468" s="2">
        <v>45681</v>
      </c>
      <c r="C468" t="s">
        <v>415</v>
      </c>
      <c r="D468" t="s">
        <v>55</v>
      </c>
      <c r="E468" t="s">
        <v>59</v>
      </c>
      <c r="F468" t="s">
        <v>158</v>
      </c>
      <c r="G468" s="3">
        <v>6</v>
      </c>
      <c r="H468">
        <v>500</v>
      </c>
      <c r="I468">
        <v>0</v>
      </c>
      <c r="J468">
        <v>250</v>
      </c>
      <c r="K468">
        <v>3000</v>
      </c>
      <c r="L468">
        <v>0</v>
      </c>
      <c r="M468">
        <v>1500</v>
      </c>
      <c r="N468">
        <v>1500</v>
      </c>
      <c r="O468" s="4">
        <v>0.5</v>
      </c>
      <c r="P468">
        <v>2025</v>
      </c>
      <c r="Q468" t="s">
        <v>47</v>
      </c>
    </row>
    <row r="469" spans="1:17">
      <c r="A469" t="s">
        <v>639</v>
      </c>
      <c r="B469" s="2">
        <v>46136</v>
      </c>
      <c r="C469" t="s">
        <v>37</v>
      </c>
      <c r="D469" t="s">
        <v>50</v>
      </c>
      <c r="E469" t="s">
        <v>39</v>
      </c>
      <c r="F469" t="s">
        <v>56</v>
      </c>
      <c r="G469" s="3">
        <v>1</v>
      </c>
      <c r="H469">
        <v>800</v>
      </c>
      <c r="I469">
        <v>0.05</v>
      </c>
      <c r="J469">
        <v>450</v>
      </c>
      <c r="K469">
        <v>800</v>
      </c>
      <c r="L469">
        <v>40</v>
      </c>
      <c r="M469">
        <v>450</v>
      </c>
      <c r="N469">
        <v>310</v>
      </c>
      <c r="O469" s="4">
        <v>0.38750000000000001</v>
      </c>
      <c r="P469">
        <v>2026</v>
      </c>
      <c r="Q469" t="s">
        <v>79</v>
      </c>
    </row>
    <row r="470" spans="1:17">
      <c r="A470" t="s">
        <v>640</v>
      </c>
      <c r="B470" s="2">
        <v>45917</v>
      </c>
      <c r="C470" t="s">
        <v>94</v>
      </c>
      <c r="D470" t="s">
        <v>55</v>
      </c>
      <c r="E470" t="s">
        <v>39</v>
      </c>
      <c r="F470" t="s">
        <v>56</v>
      </c>
      <c r="G470" s="3">
        <v>8</v>
      </c>
      <c r="H470">
        <v>800</v>
      </c>
      <c r="I470">
        <v>0</v>
      </c>
      <c r="J470">
        <v>450</v>
      </c>
      <c r="K470">
        <v>6400</v>
      </c>
      <c r="L470">
        <v>0</v>
      </c>
      <c r="M470">
        <v>3600</v>
      </c>
      <c r="N470">
        <v>2800</v>
      </c>
      <c r="O470" s="4">
        <v>0.4375</v>
      </c>
      <c r="P470">
        <v>2025</v>
      </c>
      <c r="Q470" t="s">
        <v>41</v>
      </c>
    </row>
    <row r="471" spans="1:17">
      <c r="A471" t="s">
        <v>641</v>
      </c>
      <c r="B471" s="2">
        <v>45974</v>
      </c>
      <c r="C471" t="s">
        <v>263</v>
      </c>
      <c r="D471" t="s">
        <v>38</v>
      </c>
      <c r="E471" t="s">
        <v>39</v>
      </c>
      <c r="F471" t="s">
        <v>40</v>
      </c>
      <c r="G471" s="3">
        <v>7</v>
      </c>
      <c r="H471">
        <v>700</v>
      </c>
      <c r="I471">
        <v>0.1</v>
      </c>
      <c r="J471">
        <v>400</v>
      </c>
      <c r="K471">
        <v>4900</v>
      </c>
      <c r="L471">
        <v>490</v>
      </c>
      <c r="M471">
        <v>2800</v>
      </c>
      <c r="N471">
        <v>1610</v>
      </c>
      <c r="O471" s="4">
        <v>0.32857142857142857</v>
      </c>
      <c r="P471">
        <v>2025</v>
      </c>
      <c r="Q471" t="s">
        <v>98</v>
      </c>
    </row>
    <row r="472" spans="1:17">
      <c r="A472" t="s">
        <v>642</v>
      </c>
      <c r="B472" s="2">
        <v>46281</v>
      </c>
      <c r="C472" t="s">
        <v>242</v>
      </c>
      <c r="D472" t="s">
        <v>55</v>
      </c>
      <c r="E472" t="s">
        <v>82</v>
      </c>
      <c r="F472" t="s">
        <v>128</v>
      </c>
      <c r="G472" s="3">
        <v>6</v>
      </c>
      <c r="H472">
        <v>6000</v>
      </c>
      <c r="I472">
        <v>0.1</v>
      </c>
      <c r="J472">
        <v>4000</v>
      </c>
      <c r="K472">
        <v>36000</v>
      </c>
      <c r="L472">
        <v>3600</v>
      </c>
      <c r="M472">
        <v>24000</v>
      </c>
      <c r="N472">
        <v>8400</v>
      </c>
      <c r="O472" s="4">
        <v>0.23333333333333334</v>
      </c>
      <c r="P472">
        <v>2026</v>
      </c>
      <c r="Q472" t="s">
        <v>41</v>
      </c>
    </row>
    <row r="473" spans="1:17">
      <c r="A473" t="s">
        <v>643</v>
      </c>
      <c r="B473" s="2">
        <v>46344</v>
      </c>
      <c r="C473" t="s">
        <v>43</v>
      </c>
      <c r="D473" t="s">
        <v>50</v>
      </c>
      <c r="E473" t="s">
        <v>45</v>
      </c>
      <c r="F473" t="s">
        <v>95</v>
      </c>
      <c r="G473" s="3">
        <v>8</v>
      </c>
      <c r="H473">
        <v>150</v>
      </c>
      <c r="I473">
        <v>0</v>
      </c>
      <c r="J473">
        <v>60</v>
      </c>
      <c r="K473">
        <v>1200</v>
      </c>
      <c r="L473">
        <v>0</v>
      </c>
      <c r="M473">
        <v>480</v>
      </c>
      <c r="N473">
        <v>720</v>
      </c>
      <c r="O473" s="4">
        <v>0.6</v>
      </c>
      <c r="P473">
        <v>2026</v>
      </c>
      <c r="Q473" t="s">
        <v>98</v>
      </c>
    </row>
    <row r="474" spans="1:17">
      <c r="A474" t="s">
        <v>644</v>
      </c>
      <c r="B474" s="2">
        <v>45988</v>
      </c>
      <c r="C474" t="s">
        <v>66</v>
      </c>
      <c r="D474" t="s">
        <v>55</v>
      </c>
      <c r="E474" t="s">
        <v>82</v>
      </c>
      <c r="F474" t="s">
        <v>86</v>
      </c>
      <c r="G474" s="3">
        <v>5</v>
      </c>
      <c r="H474">
        <v>4500</v>
      </c>
      <c r="I474">
        <v>0.05</v>
      </c>
      <c r="J474">
        <v>3000</v>
      </c>
      <c r="K474">
        <v>22500</v>
      </c>
      <c r="L474">
        <v>1125</v>
      </c>
      <c r="M474">
        <v>15000</v>
      </c>
      <c r="N474">
        <v>6375</v>
      </c>
      <c r="O474" s="4">
        <v>0.28333333333333333</v>
      </c>
      <c r="P474">
        <v>2025</v>
      </c>
      <c r="Q474" t="s">
        <v>98</v>
      </c>
    </row>
    <row r="475" spans="1:17">
      <c r="A475" t="s">
        <v>645</v>
      </c>
      <c r="B475" s="2">
        <v>46339</v>
      </c>
      <c r="C475" t="s">
        <v>186</v>
      </c>
      <c r="D475" t="s">
        <v>44</v>
      </c>
      <c r="E475" t="s">
        <v>82</v>
      </c>
      <c r="F475" t="s">
        <v>128</v>
      </c>
      <c r="G475" s="3">
        <v>8</v>
      </c>
      <c r="H475">
        <v>6000</v>
      </c>
      <c r="I475">
        <v>0.15</v>
      </c>
      <c r="J475">
        <v>4000</v>
      </c>
      <c r="K475">
        <v>48000</v>
      </c>
      <c r="L475">
        <v>7200</v>
      </c>
      <c r="M475">
        <v>32000</v>
      </c>
      <c r="N475">
        <v>8800</v>
      </c>
      <c r="O475" s="4">
        <v>0.18333333333333332</v>
      </c>
      <c r="P475">
        <v>2026</v>
      </c>
      <c r="Q475" t="s">
        <v>98</v>
      </c>
    </row>
    <row r="476" spans="1:17">
      <c r="A476" t="s">
        <v>646</v>
      </c>
      <c r="B476" s="2">
        <v>45840</v>
      </c>
      <c r="C476" t="s">
        <v>381</v>
      </c>
      <c r="D476" t="s">
        <v>55</v>
      </c>
      <c r="E476" t="s">
        <v>45</v>
      </c>
      <c r="F476" t="s">
        <v>168</v>
      </c>
      <c r="G476" s="3">
        <v>2</v>
      </c>
      <c r="H476">
        <v>100</v>
      </c>
      <c r="I476">
        <v>0</v>
      </c>
      <c r="J476">
        <v>40</v>
      </c>
      <c r="K476">
        <v>200</v>
      </c>
      <c r="L476">
        <v>0</v>
      </c>
      <c r="M476">
        <v>80</v>
      </c>
      <c r="N476">
        <v>120</v>
      </c>
      <c r="O476" s="4">
        <v>0.6</v>
      </c>
      <c r="P476">
        <v>2025</v>
      </c>
      <c r="Q476" t="s">
        <v>68</v>
      </c>
    </row>
    <row r="477" spans="1:17">
      <c r="A477" t="s">
        <v>647</v>
      </c>
      <c r="B477" s="2">
        <v>46368</v>
      </c>
      <c r="C477" t="s">
        <v>232</v>
      </c>
      <c r="D477" t="s">
        <v>38</v>
      </c>
      <c r="E477" t="s">
        <v>59</v>
      </c>
      <c r="F477" t="s">
        <v>77</v>
      </c>
      <c r="G477" s="3">
        <v>2</v>
      </c>
      <c r="H477">
        <v>1200</v>
      </c>
      <c r="I477">
        <v>0</v>
      </c>
      <c r="J477">
        <v>750</v>
      </c>
      <c r="K477">
        <v>2400</v>
      </c>
      <c r="L477">
        <v>0</v>
      </c>
      <c r="M477">
        <v>1500</v>
      </c>
      <c r="N477">
        <v>900</v>
      </c>
      <c r="O477" s="4">
        <v>0.375</v>
      </c>
      <c r="P477">
        <v>2026</v>
      </c>
      <c r="Q477" t="s">
        <v>61</v>
      </c>
    </row>
    <row r="478" spans="1:17">
      <c r="A478" t="s">
        <v>648</v>
      </c>
      <c r="B478" s="2">
        <v>46347</v>
      </c>
      <c r="C478" t="s">
        <v>139</v>
      </c>
      <c r="D478" t="s">
        <v>44</v>
      </c>
      <c r="E478" t="s">
        <v>59</v>
      </c>
      <c r="F478" t="s">
        <v>60</v>
      </c>
      <c r="G478" s="3">
        <v>1</v>
      </c>
      <c r="H478">
        <v>1500</v>
      </c>
      <c r="I478">
        <v>0.05</v>
      </c>
      <c r="J478">
        <v>900</v>
      </c>
      <c r="K478">
        <v>1500</v>
      </c>
      <c r="L478">
        <v>75</v>
      </c>
      <c r="M478">
        <v>900</v>
      </c>
      <c r="N478">
        <v>525</v>
      </c>
      <c r="O478" s="4">
        <v>0.35</v>
      </c>
      <c r="P478">
        <v>2026</v>
      </c>
      <c r="Q478" t="s">
        <v>98</v>
      </c>
    </row>
    <row r="479" spans="1:17">
      <c r="A479" t="s">
        <v>649</v>
      </c>
      <c r="B479" s="2">
        <v>45750</v>
      </c>
      <c r="C479" t="s">
        <v>37</v>
      </c>
      <c r="D479" t="s">
        <v>38</v>
      </c>
      <c r="E479" t="s">
        <v>45</v>
      </c>
      <c r="F479" t="s">
        <v>168</v>
      </c>
      <c r="G479" s="3">
        <v>3</v>
      </c>
      <c r="H479">
        <v>100</v>
      </c>
      <c r="I479">
        <v>0</v>
      </c>
      <c r="J479">
        <v>40</v>
      </c>
      <c r="K479">
        <v>300</v>
      </c>
      <c r="L479">
        <v>0</v>
      </c>
      <c r="M479">
        <v>120</v>
      </c>
      <c r="N479">
        <v>180</v>
      </c>
      <c r="O479" s="4">
        <v>0.6</v>
      </c>
      <c r="P479">
        <v>2025</v>
      </c>
      <c r="Q479" t="s">
        <v>79</v>
      </c>
    </row>
    <row r="480" spans="1:17">
      <c r="A480" t="s">
        <v>650</v>
      </c>
      <c r="B480" s="2">
        <v>46351</v>
      </c>
      <c r="C480" t="s">
        <v>294</v>
      </c>
      <c r="D480" t="s">
        <v>50</v>
      </c>
      <c r="E480" t="s">
        <v>59</v>
      </c>
      <c r="F480" t="s">
        <v>60</v>
      </c>
      <c r="G480" s="3">
        <v>2</v>
      </c>
      <c r="H480">
        <v>1500</v>
      </c>
      <c r="I480">
        <v>0.15</v>
      </c>
      <c r="J480">
        <v>900</v>
      </c>
      <c r="K480">
        <v>3000</v>
      </c>
      <c r="L480">
        <v>450</v>
      </c>
      <c r="M480">
        <v>1800</v>
      </c>
      <c r="N480">
        <v>750</v>
      </c>
      <c r="O480" s="4">
        <v>0.25</v>
      </c>
      <c r="P480">
        <v>2026</v>
      </c>
      <c r="Q480" t="s">
        <v>98</v>
      </c>
    </row>
    <row r="481" spans="1:17">
      <c r="A481" t="s">
        <v>651</v>
      </c>
      <c r="B481" s="2">
        <v>46195</v>
      </c>
      <c r="C481" t="s">
        <v>141</v>
      </c>
      <c r="D481" t="s">
        <v>50</v>
      </c>
      <c r="E481" t="s">
        <v>45</v>
      </c>
      <c r="F481" t="s">
        <v>95</v>
      </c>
      <c r="G481" s="3">
        <v>6</v>
      </c>
      <c r="H481">
        <v>150</v>
      </c>
      <c r="I481">
        <v>0.05</v>
      </c>
      <c r="J481">
        <v>60</v>
      </c>
      <c r="K481">
        <v>900</v>
      </c>
      <c r="L481">
        <v>45</v>
      </c>
      <c r="M481">
        <v>360</v>
      </c>
      <c r="N481">
        <v>495</v>
      </c>
      <c r="O481" s="4">
        <v>0.55000000000000004</v>
      </c>
      <c r="P481">
        <v>2026</v>
      </c>
      <c r="Q481" t="s">
        <v>52</v>
      </c>
    </row>
    <row r="482" spans="1:17">
      <c r="A482" t="s">
        <v>652</v>
      </c>
      <c r="B482" s="2">
        <v>45688</v>
      </c>
      <c r="C482" t="s">
        <v>183</v>
      </c>
      <c r="D482" t="s">
        <v>50</v>
      </c>
      <c r="E482" t="s">
        <v>59</v>
      </c>
      <c r="F482" t="s">
        <v>60</v>
      </c>
      <c r="G482" s="3">
        <v>1</v>
      </c>
      <c r="H482">
        <v>1500</v>
      </c>
      <c r="I482">
        <v>0</v>
      </c>
      <c r="J482">
        <v>900</v>
      </c>
      <c r="K482">
        <v>1500</v>
      </c>
      <c r="L482">
        <v>0</v>
      </c>
      <c r="M482">
        <v>900</v>
      </c>
      <c r="N482">
        <v>600</v>
      </c>
      <c r="O482" s="4">
        <v>0.4</v>
      </c>
      <c r="P482">
        <v>2025</v>
      </c>
      <c r="Q482" t="s">
        <v>47</v>
      </c>
    </row>
    <row r="483" spans="1:17">
      <c r="A483" t="s">
        <v>653</v>
      </c>
      <c r="B483" s="2">
        <v>45950</v>
      </c>
      <c r="C483" t="s">
        <v>341</v>
      </c>
      <c r="D483" t="s">
        <v>50</v>
      </c>
      <c r="E483" t="s">
        <v>45</v>
      </c>
      <c r="F483" t="s">
        <v>168</v>
      </c>
      <c r="G483" s="3">
        <v>4</v>
      </c>
      <c r="H483">
        <v>100</v>
      </c>
      <c r="I483">
        <v>0</v>
      </c>
      <c r="J483">
        <v>40</v>
      </c>
      <c r="K483">
        <v>400</v>
      </c>
      <c r="L483">
        <v>0</v>
      </c>
      <c r="M483">
        <v>160</v>
      </c>
      <c r="N483">
        <v>240</v>
      </c>
      <c r="O483" s="4">
        <v>0.6</v>
      </c>
      <c r="P483">
        <v>2025</v>
      </c>
      <c r="Q483" t="s">
        <v>74</v>
      </c>
    </row>
    <row r="484" spans="1:17">
      <c r="A484" t="s">
        <v>654</v>
      </c>
      <c r="B484" s="2">
        <v>45755</v>
      </c>
      <c r="C484" t="s">
        <v>108</v>
      </c>
      <c r="D484" t="s">
        <v>44</v>
      </c>
      <c r="E484" t="s">
        <v>82</v>
      </c>
      <c r="F484" t="s">
        <v>83</v>
      </c>
      <c r="G484" s="3">
        <v>8</v>
      </c>
      <c r="H484">
        <v>3500</v>
      </c>
      <c r="I484">
        <v>0</v>
      </c>
      <c r="J484">
        <v>2200</v>
      </c>
      <c r="K484">
        <v>28000</v>
      </c>
      <c r="L484">
        <v>0</v>
      </c>
      <c r="M484">
        <v>17600</v>
      </c>
      <c r="N484">
        <v>10400</v>
      </c>
      <c r="O484" s="4">
        <v>0.37142857142857144</v>
      </c>
      <c r="P484">
        <v>2025</v>
      </c>
      <c r="Q484" t="s">
        <v>79</v>
      </c>
    </row>
    <row r="485" spans="1:17">
      <c r="A485" t="s">
        <v>655</v>
      </c>
      <c r="B485" s="2">
        <v>46241</v>
      </c>
      <c r="C485" t="s">
        <v>369</v>
      </c>
      <c r="D485" t="s">
        <v>38</v>
      </c>
      <c r="E485" t="s">
        <v>59</v>
      </c>
      <c r="F485" t="s">
        <v>158</v>
      </c>
      <c r="G485" s="3">
        <v>6</v>
      </c>
      <c r="H485">
        <v>500</v>
      </c>
      <c r="I485">
        <v>0.1</v>
      </c>
      <c r="J485">
        <v>250</v>
      </c>
      <c r="K485">
        <v>3000</v>
      </c>
      <c r="L485">
        <v>300</v>
      </c>
      <c r="M485">
        <v>1500</v>
      </c>
      <c r="N485">
        <v>1200</v>
      </c>
      <c r="O485" s="4">
        <v>0.4</v>
      </c>
      <c r="P485">
        <v>2026</v>
      </c>
      <c r="Q485" t="s">
        <v>71</v>
      </c>
    </row>
    <row r="486" spans="1:17">
      <c r="A486" t="s">
        <v>656</v>
      </c>
      <c r="B486" s="2">
        <v>45689</v>
      </c>
      <c r="C486" t="s">
        <v>108</v>
      </c>
      <c r="D486" t="s">
        <v>38</v>
      </c>
      <c r="E486" t="s">
        <v>45</v>
      </c>
      <c r="F486" t="s">
        <v>95</v>
      </c>
      <c r="G486" s="3">
        <v>6</v>
      </c>
      <c r="H486">
        <v>150</v>
      </c>
      <c r="I486">
        <v>0.1</v>
      </c>
      <c r="J486">
        <v>60</v>
      </c>
      <c r="K486">
        <v>900</v>
      </c>
      <c r="L486">
        <v>90</v>
      </c>
      <c r="M486">
        <v>360</v>
      </c>
      <c r="N486">
        <v>450</v>
      </c>
      <c r="O486" s="4">
        <v>0.5</v>
      </c>
      <c r="P486">
        <v>2025</v>
      </c>
      <c r="Q486" t="s">
        <v>87</v>
      </c>
    </row>
    <row r="487" spans="1:17">
      <c r="A487" t="s">
        <v>657</v>
      </c>
      <c r="B487" s="2">
        <v>45955</v>
      </c>
      <c r="C487" t="s">
        <v>449</v>
      </c>
      <c r="D487" t="s">
        <v>55</v>
      </c>
      <c r="E487" t="s">
        <v>39</v>
      </c>
      <c r="F487" t="s">
        <v>51</v>
      </c>
      <c r="G487" s="3">
        <v>3</v>
      </c>
      <c r="H487">
        <v>250</v>
      </c>
      <c r="I487">
        <v>0</v>
      </c>
      <c r="J487">
        <v>100</v>
      </c>
      <c r="K487">
        <v>750</v>
      </c>
      <c r="L487">
        <v>0</v>
      </c>
      <c r="M487">
        <v>300</v>
      </c>
      <c r="N487">
        <v>450</v>
      </c>
      <c r="O487" s="4">
        <v>0.6</v>
      </c>
      <c r="P487">
        <v>2025</v>
      </c>
      <c r="Q487" t="s">
        <v>74</v>
      </c>
    </row>
    <row r="488" spans="1:17">
      <c r="A488" t="s">
        <v>658</v>
      </c>
      <c r="B488" s="2">
        <v>45776</v>
      </c>
      <c r="C488" t="s">
        <v>469</v>
      </c>
      <c r="D488" t="s">
        <v>38</v>
      </c>
      <c r="E488" t="s">
        <v>45</v>
      </c>
      <c r="F488" t="s">
        <v>67</v>
      </c>
      <c r="G488" s="3">
        <v>3</v>
      </c>
      <c r="H488">
        <v>200</v>
      </c>
      <c r="I488">
        <v>0.1</v>
      </c>
      <c r="J488">
        <v>90</v>
      </c>
      <c r="K488">
        <v>600</v>
      </c>
      <c r="L488">
        <v>60</v>
      </c>
      <c r="M488">
        <v>270</v>
      </c>
      <c r="N488">
        <v>270</v>
      </c>
      <c r="O488" s="4">
        <v>0.45</v>
      </c>
      <c r="P488">
        <v>2025</v>
      </c>
      <c r="Q488" t="s">
        <v>79</v>
      </c>
    </row>
    <row r="489" spans="1:17">
      <c r="A489" t="s">
        <v>659</v>
      </c>
      <c r="B489" s="2">
        <v>46150</v>
      </c>
      <c r="C489" t="s">
        <v>242</v>
      </c>
      <c r="D489" t="s">
        <v>50</v>
      </c>
      <c r="E489" t="s">
        <v>59</v>
      </c>
      <c r="F489" t="s">
        <v>158</v>
      </c>
      <c r="G489" s="3">
        <v>5</v>
      </c>
      <c r="H489">
        <v>500</v>
      </c>
      <c r="I489">
        <v>0</v>
      </c>
      <c r="J489">
        <v>250</v>
      </c>
      <c r="K489">
        <v>2500</v>
      </c>
      <c r="L489">
        <v>0</v>
      </c>
      <c r="M489">
        <v>1250</v>
      </c>
      <c r="N489">
        <v>1250</v>
      </c>
      <c r="O489" s="4">
        <v>0.5</v>
      </c>
      <c r="P489">
        <v>2026</v>
      </c>
      <c r="Q489" t="s">
        <v>145</v>
      </c>
    </row>
    <row r="490" spans="1:17">
      <c r="A490" t="s">
        <v>660</v>
      </c>
      <c r="B490" s="2">
        <v>46182</v>
      </c>
      <c r="C490" t="s">
        <v>207</v>
      </c>
      <c r="D490" t="s">
        <v>55</v>
      </c>
      <c r="E490" t="s">
        <v>39</v>
      </c>
      <c r="F490" t="s">
        <v>51</v>
      </c>
      <c r="G490" s="3">
        <v>6</v>
      </c>
      <c r="H490">
        <v>250</v>
      </c>
      <c r="I490">
        <v>0.05</v>
      </c>
      <c r="J490">
        <v>100</v>
      </c>
      <c r="K490">
        <v>1500</v>
      </c>
      <c r="L490">
        <v>75</v>
      </c>
      <c r="M490">
        <v>600</v>
      </c>
      <c r="N490">
        <v>825</v>
      </c>
      <c r="O490" s="4">
        <v>0.55000000000000004</v>
      </c>
      <c r="P490">
        <v>2026</v>
      </c>
      <c r="Q490" t="s">
        <v>52</v>
      </c>
    </row>
    <row r="491" spans="1:17">
      <c r="A491" t="s">
        <v>661</v>
      </c>
      <c r="B491" s="2">
        <v>46044</v>
      </c>
      <c r="C491" t="s">
        <v>359</v>
      </c>
      <c r="D491" t="s">
        <v>55</v>
      </c>
      <c r="E491" t="s">
        <v>59</v>
      </c>
      <c r="F491" t="s">
        <v>60</v>
      </c>
      <c r="G491" s="3">
        <v>2</v>
      </c>
      <c r="H491">
        <v>1500</v>
      </c>
      <c r="I491">
        <v>0</v>
      </c>
      <c r="J491">
        <v>900</v>
      </c>
      <c r="K491">
        <v>3000</v>
      </c>
      <c r="L491">
        <v>0</v>
      </c>
      <c r="M491">
        <v>1800</v>
      </c>
      <c r="N491">
        <v>1200</v>
      </c>
      <c r="O491" s="4">
        <v>0.4</v>
      </c>
      <c r="P491">
        <v>2026</v>
      </c>
      <c r="Q491" t="s">
        <v>47</v>
      </c>
    </row>
    <row r="492" spans="1:17">
      <c r="A492" t="s">
        <v>662</v>
      </c>
      <c r="B492" s="2">
        <v>46314</v>
      </c>
      <c r="C492" t="s">
        <v>49</v>
      </c>
      <c r="D492" t="s">
        <v>38</v>
      </c>
      <c r="E492" t="s">
        <v>39</v>
      </c>
      <c r="F492" t="s">
        <v>40</v>
      </c>
      <c r="G492" s="3">
        <v>2</v>
      </c>
      <c r="H492">
        <v>700</v>
      </c>
      <c r="I492">
        <v>0.05</v>
      </c>
      <c r="J492">
        <v>400</v>
      </c>
      <c r="K492">
        <v>1400</v>
      </c>
      <c r="L492">
        <v>70</v>
      </c>
      <c r="M492">
        <v>800</v>
      </c>
      <c r="N492">
        <v>530</v>
      </c>
      <c r="O492" s="4">
        <v>0.37857142857142856</v>
      </c>
      <c r="P492">
        <v>2026</v>
      </c>
      <c r="Q492" t="s">
        <v>74</v>
      </c>
    </row>
    <row r="493" spans="1:17">
      <c r="A493" t="s">
        <v>663</v>
      </c>
      <c r="B493" s="2">
        <v>46040</v>
      </c>
      <c r="C493" t="s">
        <v>201</v>
      </c>
      <c r="D493" t="s">
        <v>50</v>
      </c>
      <c r="E493" t="s">
        <v>39</v>
      </c>
      <c r="F493" t="s">
        <v>40</v>
      </c>
      <c r="G493" s="3">
        <v>4</v>
      </c>
      <c r="H493">
        <v>700</v>
      </c>
      <c r="I493">
        <v>0.15</v>
      </c>
      <c r="J493">
        <v>400</v>
      </c>
      <c r="K493">
        <v>2800</v>
      </c>
      <c r="L493">
        <v>420</v>
      </c>
      <c r="M493">
        <v>1600</v>
      </c>
      <c r="N493">
        <v>780</v>
      </c>
      <c r="O493" s="4">
        <v>0.27857142857142858</v>
      </c>
      <c r="P493">
        <v>2026</v>
      </c>
      <c r="Q493" t="s">
        <v>47</v>
      </c>
    </row>
    <row r="494" spans="1:17">
      <c r="A494" t="s">
        <v>664</v>
      </c>
      <c r="B494" s="2">
        <v>46230</v>
      </c>
      <c r="C494" t="s">
        <v>257</v>
      </c>
      <c r="D494" t="s">
        <v>55</v>
      </c>
      <c r="E494" t="s">
        <v>82</v>
      </c>
      <c r="F494" t="s">
        <v>128</v>
      </c>
      <c r="G494" s="3">
        <v>8</v>
      </c>
      <c r="H494">
        <v>6000</v>
      </c>
      <c r="I494">
        <v>0.1</v>
      </c>
      <c r="J494">
        <v>4000</v>
      </c>
      <c r="K494">
        <v>48000</v>
      </c>
      <c r="L494">
        <v>4800</v>
      </c>
      <c r="M494">
        <v>32000</v>
      </c>
      <c r="N494">
        <v>11200</v>
      </c>
      <c r="O494" s="4">
        <v>0.23333333333333334</v>
      </c>
      <c r="P494">
        <v>2026</v>
      </c>
      <c r="Q494" t="s">
        <v>68</v>
      </c>
    </row>
    <row r="495" spans="1:17">
      <c r="A495" t="s">
        <v>665</v>
      </c>
      <c r="B495" s="2">
        <v>45792</v>
      </c>
      <c r="C495" t="s">
        <v>89</v>
      </c>
      <c r="D495" t="s">
        <v>50</v>
      </c>
      <c r="E495" t="s">
        <v>45</v>
      </c>
      <c r="F495" t="s">
        <v>95</v>
      </c>
      <c r="G495" s="3">
        <v>7</v>
      </c>
      <c r="H495">
        <v>150</v>
      </c>
      <c r="I495">
        <v>0.15</v>
      </c>
      <c r="J495">
        <v>60</v>
      </c>
      <c r="K495">
        <v>1050</v>
      </c>
      <c r="L495">
        <v>157.5</v>
      </c>
      <c r="M495">
        <v>420</v>
      </c>
      <c r="N495">
        <v>472.5</v>
      </c>
      <c r="O495" s="4">
        <v>0.45</v>
      </c>
      <c r="P495">
        <v>2025</v>
      </c>
      <c r="Q495" t="s">
        <v>145</v>
      </c>
    </row>
    <row r="496" spans="1:17">
      <c r="A496" t="s">
        <v>666</v>
      </c>
      <c r="B496" s="2">
        <v>45729</v>
      </c>
      <c r="C496" t="s">
        <v>514</v>
      </c>
      <c r="D496" t="s">
        <v>50</v>
      </c>
      <c r="E496" t="s">
        <v>39</v>
      </c>
      <c r="F496" t="s">
        <v>64</v>
      </c>
      <c r="G496" s="3">
        <v>4</v>
      </c>
      <c r="H496">
        <v>2000</v>
      </c>
      <c r="I496">
        <v>0.1</v>
      </c>
      <c r="J496">
        <v>1200</v>
      </c>
      <c r="K496">
        <v>8000</v>
      </c>
      <c r="L496">
        <v>800</v>
      </c>
      <c r="M496">
        <v>4800</v>
      </c>
      <c r="N496">
        <v>2400</v>
      </c>
      <c r="O496" s="4">
        <v>0.3</v>
      </c>
      <c r="P496">
        <v>2025</v>
      </c>
      <c r="Q496" t="s">
        <v>57</v>
      </c>
    </row>
    <row r="497" spans="1:17">
      <c r="A497" t="s">
        <v>667</v>
      </c>
      <c r="B497" s="2">
        <v>45926</v>
      </c>
      <c r="C497" t="s">
        <v>73</v>
      </c>
      <c r="D497" t="s">
        <v>50</v>
      </c>
      <c r="E497" t="s">
        <v>39</v>
      </c>
      <c r="F497" t="s">
        <v>40</v>
      </c>
      <c r="G497" s="3">
        <v>3</v>
      </c>
      <c r="H497">
        <v>700</v>
      </c>
      <c r="I497">
        <v>0.05</v>
      </c>
      <c r="J497">
        <v>400</v>
      </c>
      <c r="K497">
        <v>2100</v>
      </c>
      <c r="L497">
        <v>105</v>
      </c>
      <c r="M497">
        <v>1200</v>
      </c>
      <c r="N497">
        <v>795</v>
      </c>
      <c r="O497" s="4">
        <v>0.37857142857142856</v>
      </c>
      <c r="P497">
        <v>2025</v>
      </c>
      <c r="Q497" t="s">
        <v>41</v>
      </c>
    </row>
    <row r="498" spans="1:17">
      <c r="A498" t="s">
        <v>668</v>
      </c>
      <c r="B498" s="2">
        <v>45984</v>
      </c>
      <c r="C498" t="s">
        <v>347</v>
      </c>
      <c r="D498" t="s">
        <v>44</v>
      </c>
      <c r="E498" t="s">
        <v>39</v>
      </c>
      <c r="F498" t="s">
        <v>64</v>
      </c>
      <c r="G498" s="3">
        <v>4</v>
      </c>
      <c r="H498">
        <v>2000</v>
      </c>
      <c r="I498">
        <v>0.1</v>
      </c>
      <c r="J498">
        <v>1200</v>
      </c>
      <c r="K498">
        <v>8000</v>
      </c>
      <c r="L498">
        <v>800</v>
      </c>
      <c r="M498">
        <v>4800</v>
      </c>
      <c r="N498">
        <v>2400</v>
      </c>
      <c r="O498" s="4">
        <v>0.3</v>
      </c>
      <c r="P498">
        <v>2025</v>
      </c>
      <c r="Q498" t="s">
        <v>98</v>
      </c>
    </row>
    <row r="499" spans="1:17">
      <c r="A499" t="s">
        <v>669</v>
      </c>
      <c r="B499" s="2">
        <v>46251</v>
      </c>
      <c r="C499" t="s">
        <v>260</v>
      </c>
      <c r="D499" t="s">
        <v>38</v>
      </c>
      <c r="E499" t="s">
        <v>59</v>
      </c>
      <c r="F499" t="s">
        <v>60</v>
      </c>
      <c r="G499" s="3">
        <v>3</v>
      </c>
      <c r="H499">
        <v>1500</v>
      </c>
      <c r="I499">
        <v>0.05</v>
      </c>
      <c r="J499">
        <v>900</v>
      </c>
      <c r="K499">
        <v>4500</v>
      </c>
      <c r="L499">
        <v>225</v>
      </c>
      <c r="M499">
        <v>2700</v>
      </c>
      <c r="N499">
        <v>1575</v>
      </c>
      <c r="O499" s="4">
        <v>0.35</v>
      </c>
      <c r="P499">
        <v>2026</v>
      </c>
      <c r="Q499" t="s">
        <v>71</v>
      </c>
    </row>
    <row r="500" spans="1:17">
      <c r="A500" t="s">
        <v>670</v>
      </c>
      <c r="B500" s="2">
        <v>46371</v>
      </c>
      <c r="C500" t="s">
        <v>298</v>
      </c>
      <c r="D500" t="s">
        <v>50</v>
      </c>
      <c r="E500" t="s">
        <v>39</v>
      </c>
      <c r="F500" t="s">
        <v>40</v>
      </c>
      <c r="G500" s="3">
        <v>6</v>
      </c>
      <c r="H500">
        <v>700</v>
      </c>
      <c r="I500">
        <v>0.05</v>
      </c>
      <c r="J500">
        <v>400</v>
      </c>
      <c r="K500">
        <v>4200</v>
      </c>
      <c r="L500">
        <v>210</v>
      </c>
      <c r="M500">
        <v>2400</v>
      </c>
      <c r="N500">
        <v>1590</v>
      </c>
      <c r="O500" s="4">
        <v>0.37857142857142856</v>
      </c>
      <c r="P500">
        <v>2026</v>
      </c>
      <c r="Q500" t="s">
        <v>61</v>
      </c>
    </row>
    <row r="501" spans="1:17">
      <c r="A501" t="s">
        <v>671</v>
      </c>
      <c r="B501" s="2">
        <v>45756</v>
      </c>
      <c r="C501" t="s">
        <v>257</v>
      </c>
      <c r="D501" t="s">
        <v>38</v>
      </c>
      <c r="E501" t="s">
        <v>59</v>
      </c>
      <c r="F501" t="s">
        <v>158</v>
      </c>
      <c r="G501" s="3">
        <v>5</v>
      </c>
      <c r="H501">
        <v>500</v>
      </c>
      <c r="I501">
        <v>0.05</v>
      </c>
      <c r="J501">
        <v>250</v>
      </c>
      <c r="K501">
        <v>2500</v>
      </c>
      <c r="L501">
        <v>125</v>
      </c>
      <c r="M501">
        <v>1250</v>
      </c>
      <c r="N501">
        <v>1125</v>
      </c>
      <c r="O501" s="4">
        <v>0.45</v>
      </c>
      <c r="P501">
        <v>2025</v>
      </c>
      <c r="Q501" t="s">
        <v>79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B384-CBBC-4ED9-BC62-76C7D77A8AAB}">
  <dimension ref="A1:L83"/>
  <sheetViews>
    <sheetView tabSelected="1" zoomScale="59" zoomScaleNormal="60" zoomScalePageLayoutView="71" workbookViewId="0">
      <selection activeCell="C13" sqref="C13"/>
    </sheetView>
  </sheetViews>
  <sheetFormatPr defaultRowHeight="14.4"/>
  <cols>
    <col min="1" max="1" width="102.6640625" customWidth="1"/>
    <col min="3" max="3" width="34.6640625" customWidth="1"/>
    <col min="5" max="5" width="22.44140625" customWidth="1"/>
    <col min="7" max="7" width="23.33203125" customWidth="1"/>
  </cols>
  <sheetData>
    <row r="1" spans="1:12" ht="47.4">
      <c r="A1" s="16" t="s">
        <v>683</v>
      </c>
      <c r="B1" s="16"/>
      <c r="C1" s="16"/>
      <c r="D1" s="16"/>
      <c r="E1" s="16"/>
      <c r="F1" s="16"/>
      <c r="G1" s="16"/>
      <c r="H1" s="10"/>
      <c r="I1" s="10"/>
      <c r="J1" s="10"/>
      <c r="K1" s="10"/>
      <c r="L1" s="10"/>
    </row>
    <row r="3" spans="1:12" ht="15" thickBot="1"/>
    <row r="4" spans="1:12" ht="18">
      <c r="A4" s="15" t="s">
        <v>675</v>
      </c>
      <c r="C4" s="15" t="s">
        <v>676</v>
      </c>
      <c r="E4" s="15" t="s">
        <v>677</v>
      </c>
      <c r="G4" s="15" t="s">
        <v>678</v>
      </c>
    </row>
    <row r="5" spans="1:12" ht="21.6" thickBot="1">
      <c r="A5" s="12">
        <f>SUM(Sheet1!K2:K501)</f>
        <v>4687500</v>
      </c>
      <c r="C5" s="13">
        <f>SUM(Sheet1!N2:N501)</f>
        <v>1241347.5</v>
      </c>
      <c r="E5" s="13">
        <f>SUM(Sheet1!G2:G501)</f>
        <v>2193</v>
      </c>
      <c r="G5" s="14">
        <f>C5/A5</f>
        <v>0.26482080000000002</v>
      </c>
    </row>
    <row r="17" spans="1:3" ht="23.4">
      <c r="B17" s="9"/>
      <c r="C17" s="9"/>
    </row>
    <row r="22" spans="1:3" ht="23.4">
      <c r="A22" s="10"/>
    </row>
    <row r="83" spans="1:1" ht="23.4">
      <c r="A83" s="10" t="s">
        <v>683</v>
      </c>
    </row>
  </sheetData>
  <mergeCells count="1">
    <mergeCell ref="A1:G1"/>
  </mergeCells>
  <pageMargins left="0.7" right="0.7" top="0.75" bottom="0.75" header="0.3" footer="0.3"/>
  <pageSetup orientation="portrait" r:id="rId1"/>
  <headerFooter>
    <oddHeader xml:space="preserve">&amp;CNOVAMART | SALES &amp; BUSSINESS ANALYTICS DASHBOARD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2AC8-FF71-4E12-B5E3-0A7DAF867DA4}">
  <dimension ref="A1:C17"/>
  <sheetViews>
    <sheetView workbookViewId="0">
      <selection activeCell="F16" sqref="F16"/>
    </sheetView>
  </sheetViews>
  <sheetFormatPr defaultRowHeight="14.4"/>
  <cols>
    <col min="1" max="1" width="13.21875" customWidth="1"/>
    <col min="2" max="2" width="15.21875" customWidth="1"/>
    <col min="3" max="3" width="16.5546875" customWidth="1"/>
  </cols>
  <sheetData>
    <row r="1" spans="1:3">
      <c r="A1" s="1" t="s">
        <v>11</v>
      </c>
      <c r="B1" s="1" t="s">
        <v>12</v>
      </c>
      <c r="C1" s="1" t="s">
        <v>10</v>
      </c>
    </row>
    <row r="2" spans="1:3">
      <c r="A2" t="s">
        <v>13</v>
      </c>
      <c r="B2">
        <v>1200</v>
      </c>
      <c r="C2">
        <v>750</v>
      </c>
    </row>
    <row r="3" spans="1:3">
      <c r="A3" t="s">
        <v>14</v>
      </c>
      <c r="B3">
        <v>500</v>
      </c>
      <c r="C3">
        <v>250</v>
      </c>
    </row>
    <row r="4" spans="1:3">
      <c r="A4" t="s">
        <v>15</v>
      </c>
      <c r="B4">
        <v>9000</v>
      </c>
      <c r="C4">
        <v>6500</v>
      </c>
    </row>
    <row r="5" spans="1:3">
      <c r="A5" t="s">
        <v>16</v>
      </c>
      <c r="B5">
        <v>1500</v>
      </c>
      <c r="C5">
        <v>900</v>
      </c>
    </row>
    <row r="6" spans="1:3">
      <c r="A6" t="s">
        <v>17</v>
      </c>
      <c r="B6">
        <v>6000</v>
      </c>
      <c r="C6">
        <v>4000</v>
      </c>
    </row>
    <row r="7" spans="1:3">
      <c r="A7" t="s">
        <v>18</v>
      </c>
      <c r="B7">
        <v>4500</v>
      </c>
      <c r="C7">
        <v>3000</v>
      </c>
    </row>
    <row r="8" spans="1:3">
      <c r="A8" t="s">
        <v>19</v>
      </c>
      <c r="B8">
        <v>3500</v>
      </c>
      <c r="C8">
        <v>2200</v>
      </c>
    </row>
    <row r="9" spans="1:3">
      <c r="A9" t="s">
        <v>20</v>
      </c>
      <c r="B9">
        <v>4000</v>
      </c>
      <c r="C9">
        <v>2700</v>
      </c>
    </row>
    <row r="10" spans="1:3">
      <c r="A10" t="s">
        <v>21</v>
      </c>
      <c r="B10">
        <v>100</v>
      </c>
      <c r="C10">
        <v>40</v>
      </c>
    </row>
    <row r="11" spans="1:3">
      <c r="A11" t="s">
        <v>22</v>
      </c>
      <c r="B11">
        <v>150</v>
      </c>
      <c r="C11">
        <v>60</v>
      </c>
    </row>
    <row r="12" spans="1:3">
      <c r="A12" t="s">
        <v>23</v>
      </c>
      <c r="B12">
        <v>200</v>
      </c>
      <c r="C12">
        <v>90</v>
      </c>
    </row>
    <row r="13" spans="1:3">
      <c r="A13" t="s">
        <v>24</v>
      </c>
      <c r="B13">
        <v>300</v>
      </c>
      <c r="C13">
        <v>180</v>
      </c>
    </row>
    <row r="14" spans="1:3">
      <c r="A14" t="s">
        <v>25</v>
      </c>
      <c r="B14">
        <v>800</v>
      </c>
      <c r="C14">
        <v>450</v>
      </c>
    </row>
    <row r="15" spans="1:3">
      <c r="A15" t="s">
        <v>26</v>
      </c>
      <c r="B15">
        <v>700</v>
      </c>
      <c r="C15">
        <v>400</v>
      </c>
    </row>
    <row r="16" spans="1:3">
      <c r="A16" t="s">
        <v>27</v>
      </c>
      <c r="B16">
        <v>2000</v>
      </c>
      <c r="C16">
        <v>1200</v>
      </c>
    </row>
    <row r="17" spans="1:3">
      <c r="A17" t="s">
        <v>28</v>
      </c>
      <c r="B17">
        <v>250</v>
      </c>
      <c r="C17">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Sheet1</vt:lpstr>
      <vt:lpstr>Dashboard</vt:lpstr>
      <vt:lpstr>product_prices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munnuru keerthana</dc:creator>
  <cp:lastModifiedBy>munnuru keerthana</cp:lastModifiedBy>
  <dcterms:created xsi:type="dcterms:W3CDTF">2026-10-05T15:16:20Z</dcterms:created>
  <dcterms:modified xsi:type="dcterms:W3CDTF">2026-10-17T14:23:10Z</dcterms:modified>
</cp:coreProperties>
</file>